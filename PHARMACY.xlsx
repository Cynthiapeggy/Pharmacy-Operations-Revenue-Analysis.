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Cynthia\Documents\CHI\"/>
    </mc:Choice>
  </mc:AlternateContent>
  <xr:revisionPtr revIDLastSave="0" documentId="13_ncr:1_{9C49DDC1-7CCD-4A5A-99C8-7AA8443910A8}" xr6:coauthVersionLast="47" xr6:coauthVersionMax="47" xr10:uidLastSave="{00000000-0000-0000-0000-000000000000}"/>
  <bookViews>
    <workbookView xWindow="-120" yWindow="-120" windowWidth="20730" windowHeight="11040" xr2:uid="{72368F2F-F459-49A1-A711-B16CC8D79D44}"/>
  </bookViews>
  <sheets>
    <sheet name="PharmacyData" sheetId="1" r:id="rId1"/>
    <sheet name="KPI" sheetId="2" r:id="rId2"/>
    <sheet name="pvtable" sheetId="3" r:id="rId3"/>
    <sheet name="DASHBOARD." sheetId="6" r:id="rId4"/>
  </sheets>
  <definedNames>
    <definedName name="Slicer_Customer_Type">#N/A</definedName>
    <definedName name="Slicer_Drug_Category">#N/A</definedName>
    <definedName name="Slicer_Payment_Method">#N/A</definedName>
    <definedName name="Slicer_Prescription_Type">#N/A</definedName>
  </definedNames>
  <calcPr calcId="191029"/>
  <pivotCaches>
    <pivotCache cacheId="27"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2" l="1"/>
  <c r="G4" i="2"/>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P10" i="1"/>
</calcChain>
</file>

<file path=xl/sharedStrings.xml><?xml version="1.0" encoding="utf-8"?>
<sst xmlns="http://schemas.openxmlformats.org/spreadsheetml/2006/main" count="2779" uniqueCount="577">
  <si>
    <t>Transaction_ID</t>
  </si>
  <si>
    <t>Date</t>
  </si>
  <si>
    <t>Drug_Name</t>
  </si>
  <si>
    <t>Drug_Category</t>
  </si>
  <si>
    <t>Dosage_Form</t>
  </si>
  <si>
    <t>Quantity_Sold</t>
  </si>
  <si>
    <t>Unit_Price</t>
  </si>
  <si>
    <t>Total_Sales</t>
  </si>
  <si>
    <t>Supplier</t>
  </si>
  <si>
    <t>Payment_Method</t>
  </si>
  <si>
    <t>Prescription_Type</t>
  </si>
  <si>
    <t>Customer_Type</t>
  </si>
  <si>
    <t>TXN0001</t>
  </si>
  <si>
    <t>2024-11-12</t>
  </si>
  <si>
    <t>Metformin</t>
  </si>
  <si>
    <t>Antidiabetic</t>
  </si>
  <si>
    <t>Capsule</t>
  </si>
  <si>
    <t>Swiss Pharma</t>
  </si>
  <si>
    <t>POS</t>
  </si>
  <si>
    <t>Prescription</t>
  </si>
  <si>
    <t>HMO</t>
  </si>
  <si>
    <t>TXN0002</t>
  </si>
  <si>
    <t>2024-04-18</t>
  </si>
  <si>
    <t>Vitamin C</t>
  </si>
  <si>
    <t>Supplement</t>
  </si>
  <si>
    <t>Injection</t>
  </si>
  <si>
    <t>Fidson</t>
  </si>
  <si>
    <t>Transfer</t>
  </si>
  <si>
    <t>OTC</t>
  </si>
  <si>
    <t>TXN0003</t>
  </si>
  <si>
    <t>2024-03-06</t>
  </si>
  <si>
    <t>Amoxicillin</t>
  </si>
  <si>
    <t>Antibiotic</t>
  </si>
  <si>
    <t>Syrup</t>
  </si>
  <si>
    <t>May &amp; Baker</t>
  </si>
  <si>
    <t>Hospital Referral</t>
  </si>
  <si>
    <t>TXN0004</t>
  </si>
  <si>
    <t>2024-08-13</t>
  </si>
  <si>
    <t>TXN0005</t>
  </si>
  <si>
    <t>2024-11-25</t>
  </si>
  <si>
    <t>Paracetamol</t>
  </si>
  <si>
    <t>Analgesic</t>
  </si>
  <si>
    <t>GSK</t>
  </si>
  <si>
    <t>Walk-in</t>
  </si>
  <si>
    <t>TXN0006</t>
  </si>
  <si>
    <t>2024-10-28</t>
  </si>
  <si>
    <t>Ibuprofen</t>
  </si>
  <si>
    <t>Anti-inflammatory</t>
  </si>
  <si>
    <t>TXN0007</t>
  </si>
  <si>
    <t>2024-10-12</t>
  </si>
  <si>
    <t>TXN0008</t>
  </si>
  <si>
    <t>2024-03-11</t>
  </si>
  <si>
    <t>Cash</t>
  </si>
  <si>
    <t>TXN0009</t>
  </si>
  <si>
    <t>2024-07-30</t>
  </si>
  <si>
    <t>Emzor</t>
  </si>
  <si>
    <t>TXN0010</t>
  </si>
  <si>
    <t>2024-10-10</t>
  </si>
  <si>
    <t>Tablet</t>
  </si>
  <si>
    <t>TXN0011</t>
  </si>
  <si>
    <t>2024-02-08</t>
  </si>
  <si>
    <t>TXN0012</t>
  </si>
  <si>
    <t>2024-11-29</t>
  </si>
  <si>
    <t>TXN0013</t>
  </si>
  <si>
    <t>2024-07-26</t>
  </si>
  <si>
    <t>Cough Syrup</t>
  </si>
  <si>
    <t>Respiratory</t>
  </si>
  <si>
    <t>TXN0014</t>
  </si>
  <si>
    <t>2024-09-24</t>
  </si>
  <si>
    <t>TXN0015</t>
  </si>
  <si>
    <t>2024-12-23</t>
  </si>
  <si>
    <t>Azithromycin</t>
  </si>
  <si>
    <t>TXN0016</t>
  </si>
  <si>
    <t>2024-04-07</t>
  </si>
  <si>
    <t>TXN0017</t>
  </si>
  <si>
    <t>2024-12-15</t>
  </si>
  <si>
    <t>TXN0018</t>
  </si>
  <si>
    <t>2024-09-27</t>
  </si>
  <si>
    <t>TXN0019</t>
  </si>
  <si>
    <t>2024-09-20</t>
  </si>
  <si>
    <t>TXN0020</t>
  </si>
  <si>
    <t>2024-01-31</t>
  </si>
  <si>
    <t>Insulin</t>
  </si>
  <si>
    <t>TXN0021</t>
  </si>
  <si>
    <t>2024-04-26</t>
  </si>
  <si>
    <t>TXN0022</t>
  </si>
  <si>
    <t>2024-05-19</t>
  </si>
  <si>
    <t>TXN0023</t>
  </si>
  <si>
    <t>2024-02-26</t>
  </si>
  <si>
    <t>TXN0024</t>
  </si>
  <si>
    <t>2024-10-09</t>
  </si>
  <si>
    <t>TXN0025</t>
  </si>
  <si>
    <t>2024-03-18</t>
  </si>
  <si>
    <t>TXN0026</t>
  </si>
  <si>
    <t>2024-04-03</t>
  </si>
  <si>
    <t>TXN0027</t>
  </si>
  <si>
    <t>2024-07-12</t>
  </si>
  <si>
    <t>TXN0028</t>
  </si>
  <si>
    <t>2024-12-18</t>
  </si>
  <si>
    <t>TXN0029</t>
  </si>
  <si>
    <t>2024-09-05</t>
  </si>
  <si>
    <t>TXN0030</t>
  </si>
  <si>
    <t>2024-07-29</t>
  </si>
  <si>
    <t>TXN0031</t>
  </si>
  <si>
    <t>2024-08-17</t>
  </si>
  <si>
    <t>Lisinopril</t>
  </si>
  <si>
    <t>Antihypertensive</t>
  </si>
  <si>
    <t>TXN0032</t>
  </si>
  <si>
    <t>2024-12-25</t>
  </si>
  <si>
    <t>TXN0033</t>
  </si>
  <si>
    <t>2024-10-31</t>
  </si>
  <si>
    <t>TXN0034</t>
  </si>
  <si>
    <t>2024-12-29</t>
  </si>
  <si>
    <t>TXN0035</t>
  </si>
  <si>
    <t>2024-02-14</t>
  </si>
  <si>
    <t>TXN0036</t>
  </si>
  <si>
    <t>TXN0037</t>
  </si>
  <si>
    <t>2024-11-27</t>
  </si>
  <si>
    <t>TXN0038</t>
  </si>
  <si>
    <t>2024-08-07</t>
  </si>
  <si>
    <t>TXN0039</t>
  </si>
  <si>
    <t>2024-11-09</t>
  </si>
  <si>
    <t>TXN0040</t>
  </si>
  <si>
    <t>2024-07-20</t>
  </si>
  <si>
    <t>TXN0041</t>
  </si>
  <si>
    <t>2024-01-13</t>
  </si>
  <si>
    <t>TXN0042</t>
  </si>
  <si>
    <t>2024-02-02</t>
  </si>
  <si>
    <t>TXN0043</t>
  </si>
  <si>
    <t>2024-11-02</t>
  </si>
  <si>
    <t>TXN0044</t>
  </si>
  <si>
    <t>2024-08-31</t>
  </si>
  <si>
    <t>TXN0045</t>
  </si>
  <si>
    <t>2024-11-04</t>
  </si>
  <si>
    <t>TXN0046</t>
  </si>
  <si>
    <t>2024-08-19</t>
  </si>
  <si>
    <t>TXN0047</t>
  </si>
  <si>
    <t>2024-03-02</t>
  </si>
  <si>
    <t>TXN0048</t>
  </si>
  <si>
    <t>2024-01-07</t>
  </si>
  <si>
    <t>TXN0049</t>
  </si>
  <si>
    <t>TXN0050</t>
  </si>
  <si>
    <t>2024-12-28</t>
  </si>
  <si>
    <t>TXN0051</t>
  </si>
  <si>
    <t>2024-11-30</t>
  </si>
  <si>
    <t>TXN0052</t>
  </si>
  <si>
    <t>2024-01-02</t>
  </si>
  <si>
    <t>TXN0053</t>
  </si>
  <si>
    <t>2024-09-04</t>
  </si>
  <si>
    <t>TXN0054</t>
  </si>
  <si>
    <t>2024-06-12</t>
  </si>
  <si>
    <t>TXN0055</t>
  </si>
  <si>
    <t>2024-06-29</t>
  </si>
  <si>
    <t>TXN0056</t>
  </si>
  <si>
    <t>2024-01-04</t>
  </si>
  <si>
    <t>TXN0057</t>
  </si>
  <si>
    <t>2024-03-24</t>
  </si>
  <si>
    <t>TXN0058</t>
  </si>
  <si>
    <t>2024-04-10</t>
  </si>
  <si>
    <t>TXN0059</t>
  </si>
  <si>
    <t>2024-09-22</t>
  </si>
  <si>
    <t>TXN0060</t>
  </si>
  <si>
    <t>2024-03-30</t>
  </si>
  <si>
    <t>TXN0061</t>
  </si>
  <si>
    <t>2024-10-19</t>
  </si>
  <si>
    <t>TXN0062</t>
  </si>
  <si>
    <t>TXN0063</t>
  </si>
  <si>
    <t>2024-07-04</t>
  </si>
  <si>
    <t>TXN0064</t>
  </si>
  <si>
    <t>2024-03-17</t>
  </si>
  <si>
    <t>TXN0065</t>
  </si>
  <si>
    <t>2024-08-29</t>
  </si>
  <si>
    <t>TXN0066</t>
  </si>
  <si>
    <t>2024-12-04</t>
  </si>
  <si>
    <t>TXN0067</t>
  </si>
  <si>
    <t>2024-03-07</t>
  </si>
  <si>
    <t>TXN0068</t>
  </si>
  <si>
    <t>2024-02-29</t>
  </si>
  <si>
    <t>TXN0069</t>
  </si>
  <si>
    <t>2024-08-08</t>
  </si>
  <si>
    <t>TXN0070</t>
  </si>
  <si>
    <t>2024-06-06</t>
  </si>
  <si>
    <t>TXN0071</t>
  </si>
  <si>
    <t>2024-06-23</t>
  </si>
  <si>
    <t>TXN0072</t>
  </si>
  <si>
    <t>2024-08-22</t>
  </si>
  <si>
    <t>TXN0073</t>
  </si>
  <si>
    <t>2024-03-19</t>
  </si>
  <si>
    <t>TXN0074</t>
  </si>
  <si>
    <t>2024-11-05</t>
  </si>
  <si>
    <t>TXN0075</t>
  </si>
  <si>
    <t>TXN0076</t>
  </si>
  <si>
    <t>TXN0077</t>
  </si>
  <si>
    <t>2024-07-10</t>
  </si>
  <si>
    <t>TXN0078</t>
  </si>
  <si>
    <t>2024-08-15</t>
  </si>
  <si>
    <t>TXN0079</t>
  </si>
  <si>
    <t>2024-09-29</t>
  </si>
  <si>
    <t>TXN0080</t>
  </si>
  <si>
    <t>2024-12-16</t>
  </si>
  <si>
    <t>TXN0081</t>
  </si>
  <si>
    <t>2024-08-25</t>
  </si>
  <si>
    <t>TXN0082</t>
  </si>
  <si>
    <t>2024-11-19</t>
  </si>
  <si>
    <t>TXN0083</t>
  </si>
  <si>
    <t>2024-05-04</t>
  </si>
  <si>
    <t>TXN0084</t>
  </si>
  <si>
    <t>2024-10-24</t>
  </si>
  <si>
    <t>TXN0085</t>
  </si>
  <si>
    <t>2024-04-15</t>
  </si>
  <si>
    <t>TXN0086</t>
  </si>
  <si>
    <t>2024-08-26</t>
  </si>
  <si>
    <t>TXN0087</t>
  </si>
  <si>
    <t>TXN0088</t>
  </si>
  <si>
    <t>2024-12-05</t>
  </si>
  <si>
    <t>TXN0089</t>
  </si>
  <si>
    <t>2024-08-18</t>
  </si>
  <si>
    <t>TXN0090</t>
  </si>
  <si>
    <t>2024-05-29</t>
  </si>
  <si>
    <t>TXN0091</t>
  </si>
  <si>
    <t>TXN0092</t>
  </si>
  <si>
    <t>2024-04-02</t>
  </si>
  <si>
    <t>TXN0093</t>
  </si>
  <si>
    <t>2024-08-09</t>
  </si>
  <si>
    <t>TXN0094</t>
  </si>
  <si>
    <t>2024-12-09</t>
  </si>
  <si>
    <t>TXN0095</t>
  </si>
  <si>
    <t>TXN0096</t>
  </si>
  <si>
    <t>2024-10-16</t>
  </si>
  <si>
    <t>TXN0097</t>
  </si>
  <si>
    <t>2024-06-21</t>
  </si>
  <si>
    <t>TXN0098</t>
  </si>
  <si>
    <t>TXN0099</t>
  </si>
  <si>
    <t>2024-04-21</t>
  </si>
  <si>
    <t>TXN0100</t>
  </si>
  <si>
    <t>2024-07-25</t>
  </si>
  <si>
    <t>TXN0101</t>
  </si>
  <si>
    <t>TXN0102</t>
  </si>
  <si>
    <t>TXN0103</t>
  </si>
  <si>
    <t>2024-01-21</t>
  </si>
  <si>
    <t>TXN0104</t>
  </si>
  <si>
    <t>TXN0105</t>
  </si>
  <si>
    <t>2024-08-04</t>
  </si>
  <si>
    <t>TXN0106</t>
  </si>
  <si>
    <t>2024-07-03</t>
  </si>
  <si>
    <t>TXN0107</t>
  </si>
  <si>
    <t>2024-01-01</t>
  </si>
  <si>
    <t>TXN0108</t>
  </si>
  <si>
    <t>2024-11-13</t>
  </si>
  <si>
    <t>TXN0109</t>
  </si>
  <si>
    <t>TXN0110</t>
  </si>
  <si>
    <t>2024-09-02</t>
  </si>
  <si>
    <t>TXN0111</t>
  </si>
  <si>
    <t>2024-07-05</t>
  </si>
  <si>
    <t>TXN0112</t>
  </si>
  <si>
    <t>TXN0113</t>
  </si>
  <si>
    <t>2024-10-30</t>
  </si>
  <si>
    <t>TXN0114</t>
  </si>
  <si>
    <t>TXN0115</t>
  </si>
  <si>
    <t>2024-05-14</t>
  </si>
  <si>
    <t>TXN0116</t>
  </si>
  <si>
    <t>2024-01-25</t>
  </si>
  <si>
    <t>TXN0117</t>
  </si>
  <si>
    <t>TXN0118</t>
  </si>
  <si>
    <t>2024-11-24</t>
  </si>
  <si>
    <t>TXN0119</t>
  </si>
  <si>
    <t>TXN0120</t>
  </si>
  <si>
    <t>2024-08-24</t>
  </si>
  <si>
    <t>TXN0121</t>
  </si>
  <si>
    <t>2024-05-20</t>
  </si>
  <si>
    <t>TXN0122</t>
  </si>
  <si>
    <t>TXN0123</t>
  </si>
  <si>
    <t>2024-05-06</t>
  </si>
  <si>
    <t>TXN0124</t>
  </si>
  <si>
    <t>2024-07-31</t>
  </si>
  <si>
    <t>TXN0125</t>
  </si>
  <si>
    <t>2024-12-07</t>
  </si>
  <si>
    <t>TXN0126</t>
  </si>
  <si>
    <t>2024-09-03</t>
  </si>
  <si>
    <t>TXN0127</t>
  </si>
  <si>
    <t>TXN0128</t>
  </si>
  <si>
    <t>TXN0129</t>
  </si>
  <si>
    <t>2024-11-18</t>
  </si>
  <si>
    <t>TXN0130</t>
  </si>
  <si>
    <t>2024-12-31</t>
  </si>
  <si>
    <t>TXN0131</t>
  </si>
  <si>
    <t>TXN0132</t>
  </si>
  <si>
    <t>2024-10-13</t>
  </si>
  <si>
    <t>TXN0133</t>
  </si>
  <si>
    <t>2024-09-25</t>
  </si>
  <si>
    <t>TXN0134</t>
  </si>
  <si>
    <t>TXN0135</t>
  </si>
  <si>
    <t>2024-04-06</t>
  </si>
  <si>
    <t>TXN0136</t>
  </si>
  <si>
    <t>TXN0137</t>
  </si>
  <si>
    <t>2024-03-14</t>
  </si>
  <si>
    <t>TXN0138</t>
  </si>
  <si>
    <t>2024-05-21</t>
  </si>
  <si>
    <t>TXN0139</t>
  </si>
  <si>
    <t>2024-01-10</t>
  </si>
  <si>
    <t>TXN0140</t>
  </si>
  <si>
    <t>TXN0141</t>
  </si>
  <si>
    <t>TXN0142</t>
  </si>
  <si>
    <t>TXN0143</t>
  </si>
  <si>
    <t>2024-06-17</t>
  </si>
  <si>
    <t>TXN0144</t>
  </si>
  <si>
    <t>TXN0145</t>
  </si>
  <si>
    <t>2024-02-20</t>
  </si>
  <si>
    <t>TXN0146</t>
  </si>
  <si>
    <t>2024-08-10</t>
  </si>
  <si>
    <t>TXN0147</t>
  </si>
  <si>
    <t>2024-04-29</t>
  </si>
  <si>
    <t>TXN0148</t>
  </si>
  <si>
    <t>TXN0149</t>
  </si>
  <si>
    <t>2024-08-23</t>
  </si>
  <si>
    <t>TXN0150</t>
  </si>
  <si>
    <t>2024-02-12</t>
  </si>
  <si>
    <t>TXN0151</t>
  </si>
  <si>
    <t>TXN0152</t>
  </si>
  <si>
    <t>2024-11-06</t>
  </si>
  <si>
    <t>TXN0153</t>
  </si>
  <si>
    <t>TXN0154</t>
  </si>
  <si>
    <t>TXN0155</t>
  </si>
  <si>
    <t>2024-04-14</t>
  </si>
  <si>
    <t>TXN0156</t>
  </si>
  <si>
    <t>TXN0157</t>
  </si>
  <si>
    <t>2024-12-13</t>
  </si>
  <si>
    <t>TXN0158</t>
  </si>
  <si>
    <t>2024-03-25</t>
  </si>
  <si>
    <t>TXN0159</t>
  </si>
  <si>
    <t>2024-05-13</t>
  </si>
  <si>
    <t>TXN0160</t>
  </si>
  <si>
    <t>2024-06-03</t>
  </si>
  <si>
    <t>TXN0161</t>
  </si>
  <si>
    <t>2024-10-29</t>
  </si>
  <si>
    <t>TXN0162</t>
  </si>
  <si>
    <t>2024-11-01</t>
  </si>
  <si>
    <t>TXN0163</t>
  </si>
  <si>
    <t>2024-01-08</t>
  </si>
  <si>
    <t>TXN0164</t>
  </si>
  <si>
    <t>2024-03-27</t>
  </si>
  <si>
    <t>TXN0165</t>
  </si>
  <si>
    <t>2024-06-05</t>
  </si>
  <si>
    <t>TXN0166</t>
  </si>
  <si>
    <t>2024-05-22</t>
  </si>
  <si>
    <t>TXN0167</t>
  </si>
  <si>
    <t>TXN0168</t>
  </si>
  <si>
    <t>TXN0169</t>
  </si>
  <si>
    <t>2024-06-09</t>
  </si>
  <si>
    <t>TXN0170</t>
  </si>
  <si>
    <t>2024-02-21</t>
  </si>
  <si>
    <t>TXN0171</t>
  </si>
  <si>
    <t>TXN0172</t>
  </si>
  <si>
    <t>TXN0173</t>
  </si>
  <si>
    <t>2024-02-22</t>
  </si>
  <si>
    <t>TXN0174</t>
  </si>
  <si>
    <t>2024-01-18</t>
  </si>
  <si>
    <t>TXN0175</t>
  </si>
  <si>
    <t>TXN0176</t>
  </si>
  <si>
    <t>TXN0177</t>
  </si>
  <si>
    <t>TXN0178</t>
  </si>
  <si>
    <t>2024-01-09</t>
  </si>
  <si>
    <t>TXN0179</t>
  </si>
  <si>
    <t>TXN0180</t>
  </si>
  <si>
    <t>2024-05-28</t>
  </si>
  <si>
    <t>TXN0181</t>
  </si>
  <si>
    <t>2024-10-17</t>
  </si>
  <si>
    <t>TXN0182</t>
  </si>
  <si>
    <t>2024-07-14</t>
  </si>
  <si>
    <t>TXN0183</t>
  </si>
  <si>
    <t>2024-11-20</t>
  </si>
  <si>
    <t>TXN0184</t>
  </si>
  <si>
    <t>2024-06-15</t>
  </si>
  <si>
    <t>TXN0185</t>
  </si>
  <si>
    <t>2024-08-03</t>
  </si>
  <si>
    <t>TXN0186</t>
  </si>
  <si>
    <t>2024-03-04</t>
  </si>
  <si>
    <t>TXN0187</t>
  </si>
  <si>
    <t>TXN0188</t>
  </si>
  <si>
    <t>2024-04-19</t>
  </si>
  <si>
    <t>TXN0189</t>
  </si>
  <si>
    <t>2024-12-11</t>
  </si>
  <si>
    <t>TXN0190</t>
  </si>
  <si>
    <t>TXN0191</t>
  </si>
  <si>
    <t>TXN0192</t>
  </si>
  <si>
    <t>TXN0193</t>
  </si>
  <si>
    <t>TXN0194</t>
  </si>
  <si>
    <t>TXN0195</t>
  </si>
  <si>
    <t>TXN0196</t>
  </si>
  <si>
    <t>TXN0197</t>
  </si>
  <si>
    <t>TXN0198</t>
  </si>
  <si>
    <t>2024-11-26</t>
  </si>
  <si>
    <t>TXN0199</t>
  </si>
  <si>
    <t>2024-08-05</t>
  </si>
  <si>
    <t>TXN0200</t>
  </si>
  <si>
    <t>2024-07-15</t>
  </si>
  <si>
    <t>TXN0201</t>
  </si>
  <si>
    <t>2024-05-11</t>
  </si>
  <si>
    <t>TXN0202</t>
  </si>
  <si>
    <t>2024-10-11</t>
  </si>
  <si>
    <t>TXN0203</t>
  </si>
  <si>
    <t>2024-05-09</t>
  </si>
  <si>
    <t>TXN0204</t>
  </si>
  <si>
    <t>2024-08-28</t>
  </si>
  <si>
    <t>TXN0205</t>
  </si>
  <si>
    <t>TXN0206</t>
  </si>
  <si>
    <t>2024-07-18</t>
  </si>
  <si>
    <t>TXN0207</t>
  </si>
  <si>
    <t>TXN0208</t>
  </si>
  <si>
    <t>2024-05-17</t>
  </si>
  <si>
    <t>TXN0209</t>
  </si>
  <si>
    <t>TXN0210</t>
  </si>
  <si>
    <t>TXN0211</t>
  </si>
  <si>
    <t>TXN0212</t>
  </si>
  <si>
    <t>2024-08-21</t>
  </si>
  <si>
    <t>TXN0213</t>
  </si>
  <si>
    <t>2024-04-27</t>
  </si>
  <si>
    <t>TXN0214</t>
  </si>
  <si>
    <t>2024-09-15</t>
  </si>
  <si>
    <t>TXN0215</t>
  </si>
  <si>
    <t>2024-12-20</t>
  </si>
  <si>
    <t>TXN0216</t>
  </si>
  <si>
    <t>2024-02-13</t>
  </si>
  <si>
    <t>TXN0217</t>
  </si>
  <si>
    <t>2024-07-09</t>
  </si>
  <si>
    <t>TXN0218</t>
  </si>
  <si>
    <t>TXN0219</t>
  </si>
  <si>
    <t>TXN0220</t>
  </si>
  <si>
    <t>2024-09-23</t>
  </si>
  <si>
    <t>TXN0221</t>
  </si>
  <si>
    <t>TXN0222</t>
  </si>
  <si>
    <t>TXN0223</t>
  </si>
  <si>
    <t>TXN0224</t>
  </si>
  <si>
    <t>TXN0225</t>
  </si>
  <si>
    <t>2024-07-27</t>
  </si>
  <si>
    <t>TXN0226</t>
  </si>
  <si>
    <t>TXN0227</t>
  </si>
  <si>
    <t>2024-11-11</t>
  </si>
  <si>
    <t>TXN0228</t>
  </si>
  <si>
    <t>2024-01-16</t>
  </si>
  <si>
    <t>TXN0229</t>
  </si>
  <si>
    <t>TXN0230</t>
  </si>
  <si>
    <t>2024-09-06</t>
  </si>
  <si>
    <t>TXN0231</t>
  </si>
  <si>
    <t>2024-04-28</t>
  </si>
  <si>
    <t>TXN0232</t>
  </si>
  <si>
    <t>TXN0233</t>
  </si>
  <si>
    <t>TXN0234</t>
  </si>
  <si>
    <t>2024-09-11</t>
  </si>
  <si>
    <t>TXN0235</t>
  </si>
  <si>
    <t>TXN0236</t>
  </si>
  <si>
    <t>TXN0237</t>
  </si>
  <si>
    <t>2024-10-15</t>
  </si>
  <si>
    <t>TXN0238</t>
  </si>
  <si>
    <t>TXN0239</t>
  </si>
  <si>
    <t>2024-08-30</t>
  </si>
  <si>
    <t>TXN0240</t>
  </si>
  <si>
    <t>TXN0241</t>
  </si>
  <si>
    <t>TXN0242</t>
  </si>
  <si>
    <t>2024-05-05</t>
  </si>
  <si>
    <t>TXN0243</t>
  </si>
  <si>
    <t>TXN0244</t>
  </si>
  <si>
    <t>TXN0245</t>
  </si>
  <si>
    <t>TXN0246</t>
  </si>
  <si>
    <t>TXN0247</t>
  </si>
  <si>
    <t>2024-06-28</t>
  </si>
  <si>
    <t>TXN0248</t>
  </si>
  <si>
    <t>2024-01-03</t>
  </si>
  <si>
    <t>TXN0249</t>
  </si>
  <si>
    <t>2024-08-01</t>
  </si>
  <si>
    <t>TXN0250</t>
  </si>
  <si>
    <t>TXN0251</t>
  </si>
  <si>
    <t>TXN0252</t>
  </si>
  <si>
    <t>TXN0253</t>
  </si>
  <si>
    <t>2024-04-20</t>
  </si>
  <si>
    <t>TXN0254</t>
  </si>
  <si>
    <t>TXN0255</t>
  </si>
  <si>
    <t>2024-02-15</t>
  </si>
  <si>
    <t>TXN0256</t>
  </si>
  <si>
    <t>TXN0257</t>
  </si>
  <si>
    <t>2024-04-25</t>
  </si>
  <si>
    <t>TXN0258</t>
  </si>
  <si>
    <t>TXN0259</t>
  </si>
  <si>
    <t>2024-12-21</t>
  </si>
  <si>
    <t>TXN0260</t>
  </si>
  <si>
    <t>TXN0261</t>
  </si>
  <si>
    <t>2024-05-23</t>
  </si>
  <si>
    <t>TXN0262</t>
  </si>
  <si>
    <t>TXN0263</t>
  </si>
  <si>
    <t>TXN0264</t>
  </si>
  <si>
    <t>TXN0265</t>
  </si>
  <si>
    <t>2024-10-25</t>
  </si>
  <si>
    <t>TXN0266</t>
  </si>
  <si>
    <t>2024-04-09</t>
  </si>
  <si>
    <t>TXN0267</t>
  </si>
  <si>
    <t>2024-09-18</t>
  </si>
  <si>
    <t>TXN0268</t>
  </si>
  <si>
    <t>2024-12-14</t>
  </si>
  <si>
    <t>TXN0269</t>
  </si>
  <si>
    <t>2024-02-03</t>
  </si>
  <si>
    <t>TXN0270</t>
  </si>
  <si>
    <t>2024-03-23</t>
  </si>
  <si>
    <t>TXN0271</t>
  </si>
  <si>
    <t>2024-02-10</t>
  </si>
  <si>
    <t>TXN0272</t>
  </si>
  <si>
    <t>2024-03-26</t>
  </si>
  <si>
    <t>TXN0273</t>
  </si>
  <si>
    <t>2024-08-02</t>
  </si>
  <si>
    <t>TXN0274</t>
  </si>
  <si>
    <t>2024-02-28</t>
  </si>
  <si>
    <t>TXN0275</t>
  </si>
  <si>
    <t>TXN0276</t>
  </si>
  <si>
    <t>TXN0277</t>
  </si>
  <si>
    <t>2024-01-24</t>
  </si>
  <si>
    <t>TXN0278</t>
  </si>
  <si>
    <t>2024-07-07</t>
  </si>
  <si>
    <t>TXN0279</t>
  </si>
  <si>
    <t>TXN0280</t>
  </si>
  <si>
    <t>TXN0281</t>
  </si>
  <si>
    <t>TXN0282</t>
  </si>
  <si>
    <t>TXN0283</t>
  </si>
  <si>
    <t>2024-12-08</t>
  </si>
  <si>
    <t>TXN0284</t>
  </si>
  <si>
    <t>TXN0285</t>
  </si>
  <si>
    <t>TXN0286</t>
  </si>
  <si>
    <t>2024-10-07</t>
  </si>
  <si>
    <t>TXN0287</t>
  </si>
  <si>
    <t>2024-03-20</t>
  </si>
  <si>
    <t>TXN0288</t>
  </si>
  <si>
    <t>TXN0289</t>
  </si>
  <si>
    <t>TXN0290</t>
  </si>
  <si>
    <t>2024-02-17</t>
  </si>
  <si>
    <t>TXN0291</t>
  </si>
  <si>
    <t>2024-05-15</t>
  </si>
  <si>
    <t>TXN0292</t>
  </si>
  <si>
    <t>TXN0293</t>
  </si>
  <si>
    <t>TXN0294</t>
  </si>
  <si>
    <t>TXN0295</t>
  </si>
  <si>
    <t>2024-11-23</t>
  </si>
  <si>
    <t>TXN0296</t>
  </si>
  <si>
    <t>TXN0297</t>
  </si>
  <si>
    <t>2024-10-06</t>
  </si>
  <si>
    <t>TXN0298</t>
  </si>
  <si>
    <t>TXN0299</t>
  </si>
  <si>
    <t>2024-05-01</t>
  </si>
  <si>
    <t>TXN0300</t>
  </si>
  <si>
    <t>2024-03-31</t>
  </si>
  <si>
    <t>Sum of Total_Sales</t>
  </si>
  <si>
    <t>Count of Transaction_ID</t>
  </si>
  <si>
    <t>Average of Total_Sales2</t>
  </si>
  <si>
    <t>Sum of Quantity_Sold</t>
  </si>
  <si>
    <t>Row Labels</t>
  </si>
  <si>
    <t>Grand Total</t>
  </si>
  <si>
    <t>Total Revenue</t>
  </si>
  <si>
    <t>Total Transactions</t>
  </si>
  <si>
    <t>Total Quantity Sold</t>
  </si>
  <si>
    <t>Average Sales per Transaction</t>
  </si>
  <si>
    <t>Sales by Drug Category</t>
  </si>
  <si>
    <t>Monthly Sales Trend</t>
  </si>
  <si>
    <t>Date2</t>
  </si>
  <si>
    <t>Jan</t>
  </si>
  <si>
    <t>Feb</t>
  </si>
  <si>
    <t>Mar</t>
  </si>
  <si>
    <t>Apr</t>
  </si>
  <si>
    <t>May</t>
  </si>
  <si>
    <t>Jun</t>
  </si>
  <si>
    <t>Jul</t>
  </si>
  <si>
    <t>Aug</t>
  </si>
  <si>
    <t>Sep</t>
  </si>
  <si>
    <t>Oct</t>
  </si>
  <si>
    <t>Nov</t>
  </si>
  <si>
    <t>Dec</t>
  </si>
  <si>
    <t>Payment Method Analysis</t>
  </si>
  <si>
    <t>Sales by Supplier</t>
  </si>
  <si>
    <t>Average Unit Price</t>
  </si>
  <si>
    <t>Revenue per Unit</t>
  </si>
  <si>
    <t>Drugs by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</si>
</sst>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9" formatCode="[$₦-469]\ #,##0"/>
    <numFmt numFmtId="172" formatCode="[$₦-469]\ #,##0;\-[$₦-469]\ #,##0"/>
  </numFmts>
  <fonts count="2" x14ac:knownFonts="1">
    <font>
      <sz val="11"/>
      <color theme="1"/>
      <name val="Aptos Narrow"/>
      <family val="2"/>
      <scheme val="minor"/>
    </font>
    <font>
      <b/>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0" fontId="1" fillId="0" borderId="0" xfId="0" applyFont="1"/>
    <xf numFmtId="169" fontId="0" fillId="0" borderId="0" xfId="0" applyNumberFormat="1"/>
    <xf numFmtId="172" fontId="0" fillId="0" borderId="0" xfId="0" applyNumberFormat="1"/>
  </cellXfs>
  <cellStyles count="1">
    <cellStyle name="Normal" xfId="0" builtinId="0"/>
  </cellStyles>
  <dxfs count="26">
    <dxf>
      <numFmt numFmtId="169" formatCode="[$₦-469]\ #,##0"/>
    </dxf>
    <dxf>
      <numFmt numFmtId="169" formatCode="[$₦-469]\ #,##0"/>
    </dxf>
    <dxf>
      <numFmt numFmtId="164" formatCode="0.0"/>
    </dxf>
    <dxf>
      <numFmt numFmtId="172" formatCode="[$₦-469]\ #,##0;\-[$₦-469]\ #,##0"/>
    </dxf>
    <dxf>
      <numFmt numFmtId="169" formatCode="[$₦-469]\ #,##0"/>
    </dxf>
    <dxf>
      <numFmt numFmtId="169" formatCode="[$₦-469]\ #,##0"/>
    </dxf>
    <dxf>
      <numFmt numFmtId="164" formatCode="0.0"/>
    </dxf>
    <dxf>
      <numFmt numFmtId="172" formatCode="[$₦-469]\ #,##0;\-[$₦-469]\ #,##0"/>
    </dxf>
    <dxf>
      <numFmt numFmtId="169" formatCode="[$₦-469]\ #,##0"/>
    </dxf>
    <dxf>
      <numFmt numFmtId="169" formatCode="[$₦-469]\ #,##0"/>
    </dxf>
    <dxf>
      <numFmt numFmtId="164" formatCode="0.0"/>
    </dxf>
    <dxf>
      <numFmt numFmtId="172" formatCode="[$₦-469]\ #,##0;\-[$₦-469]\ #,##0"/>
    </dxf>
    <dxf>
      <numFmt numFmtId="172" formatCode="[$₦-469]\ #,##0;\-[$₦-469]\ #,##0"/>
    </dxf>
    <dxf>
      <numFmt numFmtId="169" formatCode="[$₦-469]\ #,##0"/>
    </dxf>
    <dxf>
      <numFmt numFmtId="169" formatCode="[$₦-469]\ #,##0"/>
    </dxf>
    <dxf>
      <numFmt numFmtId="164" formatCode="0.0"/>
    </dxf>
    <dxf>
      <numFmt numFmtId="172" formatCode="[$₦-469]\ #,##0;\-[$₦-469]\ #,##0"/>
    </dxf>
    <dxf>
      <numFmt numFmtId="169" formatCode="[$₦-469]\ #,##0"/>
    </dxf>
    <dxf>
      <numFmt numFmtId="169" formatCode="[$₦-469]\ #,##0"/>
    </dxf>
    <dxf>
      <numFmt numFmtId="164" formatCode="0.0"/>
    </dxf>
    <dxf>
      <numFmt numFmtId="169" formatCode="[$₦-469]\ #,##0"/>
    </dxf>
    <dxf>
      <numFmt numFmtId="169" formatCode="[$₦-469]\ #,##0"/>
    </dxf>
    <dxf>
      <numFmt numFmtId="172" formatCode="[$₦-469]\ #,##0;\-[$₦-469]\ #,##0"/>
    </dxf>
    <dxf>
      <numFmt numFmtId="169" formatCode="[$₦-469]\ #,##0"/>
    </dxf>
    <dxf>
      <numFmt numFmtId="164" formatCode="0.0"/>
    </dxf>
    <dxf>
      <numFmt numFmtId="0" formatCode="General"/>
    </dxf>
  </dxfs>
  <tableStyles count="0" defaultTableStyle="TableStyleMedium2" defaultPivotStyle="PivotStyleLight16"/>
  <colors>
    <mruColors>
      <color rgb="FFCDEA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[PHARMACY.xlsx]pvtable!PivotTable2</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pvtable!$B$3</c:f>
              <c:strCache>
                <c:ptCount val="1"/>
                <c:pt idx="0">
                  <c:v>Total</c:v>
                </c:pt>
              </c:strCache>
            </c:strRef>
          </c:tx>
          <c:spPr>
            <a:solidFill>
              <a:schemeClr val="accent1"/>
            </a:solidFill>
            <a:ln>
              <a:noFill/>
            </a:ln>
            <a:effectLst/>
          </c:spPr>
          <c:invertIfNegative val="0"/>
          <c:cat>
            <c:strRef>
              <c:f>pvtable!$A$4:$A$11</c:f>
              <c:strCache>
                <c:ptCount val="7"/>
                <c:pt idx="0">
                  <c:v>Analgesic</c:v>
                </c:pt>
                <c:pt idx="1">
                  <c:v>Antibiotic</c:v>
                </c:pt>
                <c:pt idx="2">
                  <c:v>Antidiabetic</c:v>
                </c:pt>
                <c:pt idx="3">
                  <c:v>Antihypertensive</c:v>
                </c:pt>
                <c:pt idx="4">
                  <c:v>Anti-inflammatory</c:v>
                </c:pt>
                <c:pt idx="5">
                  <c:v>Respiratory</c:v>
                </c:pt>
                <c:pt idx="6">
                  <c:v>Supplement</c:v>
                </c:pt>
              </c:strCache>
            </c:strRef>
          </c:cat>
          <c:val>
            <c:numRef>
              <c:f>pvtable!$B$4:$B$11</c:f>
              <c:numCache>
                <c:formatCode>[$₦-469]\ #,##0;\-[$₦-469]\ #,##0</c:formatCode>
                <c:ptCount val="7"/>
                <c:pt idx="0">
                  <c:v>685570</c:v>
                </c:pt>
                <c:pt idx="1">
                  <c:v>1406653</c:v>
                </c:pt>
                <c:pt idx="2">
                  <c:v>1154463</c:v>
                </c:pt>
                <c:pt idx="3">
                  <c:v>682076</c:v>
                </c:pt>
                <c:pt idx="4">
                  <c:v>608335</c:v>
                </c:pt>
                <c:pt idx="5">
                  <c:v>586558</c:v>
                </c:pt>
                <c:pt idx="6">
                  <c:v>949449</c:v>
                </c:pt>
              </c:numCache>
            </c:numRef>
          </c:val>
          <c:extLst>
            <c:ext xmlns:c16="http://schemas.microsoft.com/office/drawing/2014/chart" uri="{C3380CC4-5D6E-409C-BE32-E72D297353CC}">
              <c16:uniqueId val="{00000000-BF71-420B-9EB7-A935267B9AB3}"/>
            </c:ext>
          </c:extLst>
        </c:ser>
        <c:dLbls>
          <c:showLegendKey val="0"/>
          <c:showVal val="0"/>
          <c:showCatName val="0"/>
          <c:showSerName val="0"/>
          <c:showPercent val="0"/>
          <c:showBubbleSize val="0"/>
        </c:dLbls>
        <c:gapWidth val="26"/>
        <c:overlap val="-27"/>
        <c:axId val="414022624"/>
        <c:axId val="414023104"/>
      </c:barChart>
      <c:catAx>
        <c:axId val="41402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023104"/>
        <c:crosses val="autoZero"/>
        <c:auto val="1"/>
        <c:lblAlgn val="ctr"/>
        <c:lblOffset val="100"/>
        <c:noMultiLvlLbl val="0"/>
      </c:catAx>
      <c:valAx>
        <c:axId val="414023104"/>
        <c:scaling>
          <c:orientation val="minMax"/>
        </c:scaling>
        <c:delete val="0"/>
        <c:axPos val="l"/>
        <c:numFmt formatCode="[$₦-469]\ #,##0;\-[$₦-46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022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[PHARMACY.xlsx]pvtable!PivotTable3</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pvtable!$B$15</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pvtable!$A$16:$A$28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pvtable!$B$16:$B$28</c:f>
              <c:numCache>
                <c:formatCode>[$₦-469]\ #,##0</c:formatCode>
                <c:ptCount val="12"/>
                <c:pt idx="0">
                  <c:v>798091</c:v>
                </c:pt>
                <c:pt idx="1">
                  <c:v>660546</c:v>
                </c:pt>
                <c:pt idx="2">
                  <c:v>534289</c:v>
                </c:pt>
                <c:pt idx="3">
                  <c:v>523174</c:v>
                </c:pt>
                <c:pt idx="4">
                  <c:v>310077</c:v>
                </c:pt>
                <c:pt idx="5">
                  <c:v>350948</c:v>
                </c:pt>
                <c:pt idx="6">
                  <c:v>322895</c:v>
                </c:pt>
                <c:pt idx="7">
                  <c:v>511632</c:v>
                </c:pt>
                <c:pt idx="8">
                  <c:v>463573</c:v>
                </c:pt>
                <c:pt idx="9">
                  <c:v>488895</c:v>
                </c:pt>
                <c:pt idx="10">
                  <c:v>656712</c:v>
                </c:pt>
                <c:pt idx="11">
                  <c:v>452272</c:v>
                </c:pt>
              </c:numCache>
            </c:numRef>
          </c:val>
          <c:smooth val="0"/>
          <c:extLst>
            <c:ext xmlns:c16="http://schemas.microsoft.com/office/drawing/2014/chart" uri="{C3380CC4-5D6E-409C-BE32-E72D297353CC}">
              <c16:uniqueId val="{00000000-9AAD-4E6A-8BE7-345E0B99D30B}"/>
            </c:ext>
          </c:extLst>
        </c:ser>
        <c:dLbls>
          <c:showLegendKey val="0"/>
          <c:showVal val="0"/>
          <c:showCatName val="0"/>
          <c:showSerName val="0"/>
          <c:showPercent val="0"/>
          <c:showBubbleSize val="0"/>
        </c:dLbls>
        <c:dropLines>
          <c:spPr>
            <a:ln w="19050" cap="flat" cmpd="sng" algn="ctr">
              <a:solidFill>
                <a:schemeClr val="dk1">
                  <a:lumMod val="35000"/>
                  <a:lumOff val="65000"/>
                  <a:alpha val="33000"/>
                </a:schemeClr>
              </a:solidFill>
              <a:round/>
            </a:ln>
            <a:effectLst/>
          </c:spPr>
        </c:dropLines>
        <c:marker val="1"/>
        <c:smooth val="0"/>
        <c:axId val="413971264"/>
        <c:axId val="413972704"/>
      </c:lineChart>
      <c:catAx>
        <c:axId val="41397126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13972704"/>
        <c:crosses val="autoZero"/>
        <c:auto val="1"/>
        <c:lblAlgn val="ctr"/>
        <c:lblOffset val="100"/>
        <c:noMultiLvlLbl val="0"/>
      </c:catAx>
      <c:valAx>
        <c:axId val="413972704"/>
        <c:scaling>
          <c:orientation val="minMax"/>
        </c:scaling>
        <c:delete val="0"/>
        <c:axPos val="l"/>
        <c:numFmt formatCode="[$₦-46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13971264"/>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[PHARMACY.xlsx]pvtable!PivotTable7</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lumMod val="75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75000"/>
            </a:schemeClr>
          </a:solidFill>
          <a:ln w="19050">
            <a:noFill/>
          </a:ln>
          <a:effectLst/>
        </c:spPr>
        <c:dLbl>
          <c:idx val="0"/>
          <c:layout>
            <c:manualLayout>
              <c:x val="0.12584544209550447"/>
              <c:y val="-0.11099628171478565"/>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75000"/>
            </a:schemeClr>
          </a:solidFill>
          <a:ln w="19050">
            <a:noFill/>
          </a:ln>
          <a:effectLst/>
        </c:spPr>
        <c:dLbl>
          <c:idx val="0"/>
          <c:layout>
            <c:manualLayout>
              <c:x val="0.1924694996754773"/>
              <c:y val="6.880517776187067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75000"/>
            </a:schemeClr>
          </a:solidFill>
          <a:ln w="19050">
            <a:noFill/>
          </a:ln>
          <a:effectLst/>
        </c:spPr>
        <c:dLbl>
          <c:idx val="0"/>
          <c:layout>
            <c:manualLayout>
              <c:x val="-0.13694945169216655"/>
              <c:y val="-8.264485405233436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pvtable!$B$56</c:f>
              <c:strCache>
                <c:ptCount val="1"/>
                <c:pt idx="0">
                  <c:v>Total</c:v>
                </c:pt>
              </c:strCache>
            </c:strRef>
          </c:tx>
          <c:spPr>
            <a:solidFill>
              <a:schemeClr val="accent1">
                <a:lumMod val="75000"/>
              </a:schemeClr>
            </a:solidFill>
            <a:ln>
              <a:noFill/>
            </a:ln>
          </c:spPr>
          <c:explosion val="4"/>
          <c:dPt>
            <c:idx val="0"/>
            <c:bubble3D val="0"/>
            <c:spPr>
              <a:solidFill>
                <a:schemeClr val="accent1">
                  <a:lumMod val="75000"/>
                </a:schemeClr>
              </a:solidFill>
              <a:ln w="19050">
                <a:noFill/>
              </a:ln>
              <a:effectLst/>
            </c:spPr>
            <c:extLst>
              <c:ext xmlns:c16="http://schemas.microsoft.com/office/drawing/2014/chart" uri="{C3380CC4-5D6E-409C-BE32-E72D297353CC}">
                <c16:uniqueId val="{00000001-C22F-4499-ADB9-4B22EB6AA1F8}"/>
              </c:ext>
            </c:extLst>
          </c:dPt>
          <c:dPt>
            <c:idx val="1"/>
            <c:bubble3D val="0"/>
            <c:spPr>
              <a:solidFill>
                <a:schemeClr val="accent1">
                  <a:lumMod val="75000"/>
                </a:schemeClr>
              </a:solidFill>
              <a:ln w="19050">
                <a:noFill/>
              </a:ln>
              <a:effectLst/>
            </c:spPr>
            <c:extLst>
              <c:ext xmlns:c16="http://schemas.microsoft.com/office/drawing/2014/chart" uri="{C3380CC4-5D6E-409C-BE32-E72D297353CC}">
                <c16:uniqueId val="{00000003-C22F-4499-ADB9-4B22EB6AA1F8}"/>
              </c:ext>
            </c:extLst>
          </c:dPt>
          <c:dPt>
            <c:idx val="2"/>
            <c:bubble3D val="0"/>
            <c:spPr>
              <a:solidFill>
                <a:schemeClr val="accent1">
                  <a:lumMod val="75000"/>
                </a:schemeClr>
              </a:solidFill>
              <a:ln w="19050">
                <a:noFill/>
              </a:ln>
              <a:effectLst/>
            </c:spPr>
            <c:extLst>
              <c:ext xmlns:c16="http://schemas.microsoft.com/office/drawing/2014/chart" uri="{C3380CC4-5D6E-409C-BE32-E72D297353CC}">
                <c16:uniqueId val="{00000005-C22F-4499-ADB9-4B22EB6AA1F8}"/>
              </c:ext>
            </c:extLst>
          </c:dPt>
          <c:dLbls>
            <c:dLbl>
              <c:idx val="0"/>
              <c:layout>
                <c:manualLayout>
                  <c:x val="0.12584544209550447"/>
                  <c:y val="-0.110996281714785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22F-4499-ADB9-4B22EB6AA1F8}"/>
                </c:ext>
              </c:extLst>
            </c:dLbl>
            <c:dLbl>
              <c:idx val="1"/>
              <c:layout>
                <c:manualLayout>
                  <c:x val="0.1924694996754773"/>
                  <c:y val="6.88051777618706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22F-4499-ADB9-4B22EB6AA1F8}"/>
                </c:ext>
              </c:extLst>
            </c:dLbl>
            <c:dLbl>
              <c:idx val="2"/>
              <c:layout>
                <c:manualLayout>
                  <c:x val="-0.13694945169216655"/>
                  <c:y val="-8.26448540523343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22F-4499-ADB9-4B22EB6AA1F8}"/>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pvtable!$A$57:$A$60</c:f>
              <c:strCache>
                <c:ptCount val="3"/>
                <c:pt idx="0">
                  <c:v>Cash</c:v>
                </c:pt>
                <c:pt idx="1">
                  <c:v>POS</c:v>
                </c:pt>
                <c:pt idx="2">
                  <c:v>Transfer</c:v>
                </c:pt>
              </c:strCache>
            </c:strRef>
          </c:cat>
          <c:val>
            <c:numRef>
              <c:f>pvtable!$B$57:$B$60</c:f>
              <c:numCache>
                <c:formatCode>[$₦-469]\ #,##0</c:formatCode>
                <c:ptCount val="3"/>
                <c:pt idx="0">
                  <c:v>2059864</c:v>
                </c:pt>
                <c:pt idx="1">
                  <c:v>2010607</c:v>
                </c:pt>
                <c:pt idx="2">
                  <c:v>2002633</c:v>
                </c:pt>
              </c:numCache>
            </c:numRef>
          </c:val>
          <c:extLst>
            <c:ext xmlns:c16="http://schemas.microsoft.com/office/drawing/2014/chart" uri="{C3380CC4-5D6E-409C-BE32-E72D297353CC}">
              <c16:uniqueId val="{00000006-C22F-4499-ADB9-4B22EB6AA1F8}"/>
            </c:ext>
          </c:extLst>
        </c:ser>
        <c:dLbls>
          <c:showLegendKey val="0"/>
          <c:showVal val="1"/>
          <c:showCatName val="0"/>
          <c:showSerName val="0"/>
          <c:showPercent val="0"/>
          <c:showBubbleSize val="0"/>
          <c:showLeaderLines val="1"/>
        </c:dLbls>
        <c:firstSliceAng val="0"/>
        <c:holeSize val="5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[PHARMACY.xlsx]pvtable!PivotTable6</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alpha val="99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accent1">
                <a:alpha val="99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accent1">
                <a:alpha val="99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pvtable!$B$46</c:f>
              <c:strCache>
                <c:ptCount val="1"/>
                <c:pt idx="0">
                  <c:v>Total</c:v>
                </c:pt>
              </c:strCache>
            </c:strRef>
          </c:tx>
          <c:spPr>
            <a:solidFill>
              <a:schemeClr val="accent1"/>
            </a:solidFill>
            <a:ln>
              <a:solidFill>
                <a:schemeClr val="accent1">
                  <a:alpha val="99000"/>
                </a:schemeClr>
              </a:solidFill>
            </a:ln>
            <a:effectLst/>
          </c:spPr>
          <c:invertIfNegative val="0"/>
          <c:cat>
            <c:strRef>
              <c:f>pvtable!$A$47:$A$52</c:f>
              <c:strCache>
                <c:ptCount val="5"/>
                <c:pt idx="0">
                  <c:v>Emzor</c:v>
                </c:pt>
                <c:pt idx="1">
                  <c:v>Fidson</c:v>
                </c:pt>
                <c:pt idx="2">
                  <c:v>GSK</c:v>
                </c:pt>
                <c:pt idx="3">
                  <c:v>May &amp; Baker</c:v>
                </c:pt>
                <c:pt idx="4">
                  <c:v>Swiss Pharma</c:v>
                </c:pt>
              </c:strCache>
            </c:strRef>
          </c:cat>
          <c:val>
            <c:numRef>
              <c:f>pvtable!$B$47:$B$52</c:f>
              <c:numCache>
                <c:formatCode>General</c:formatCode>
                <c:ptCount val="5"/>
                <c:pt idx="0">
                  <c:v>463</c:v>
                </c:pt>
                <c:pt idx="1">
                  <c:v>574</c:v>
                </c:pt>
                <c:pt idx="2">
                  <c:v>487</c:v>
                </c:pt>
                <c:pt idx="3">
                  <c:v>400</c:v>
                </c:pt>
                <c:pt idx="4">
                  <c:v>499</c:v>
                </c:pt>
              </c:numCache>
            </c:numRef>
          </c:val>
          <c:extLst>
            <c:ext xmlns:c16="http://schemas.microsoft.com/office/drawing/2014/chart" uri="{C3380CC4-5D6E-409C-BE32-E72D297353CC}">
              <c16:uniqueId val="{00000000-3EA0-4635-9A1D-7E4E46A994E7}"/>
            </c:ext>
          </c:extLst>
        </c:ser>
        <c:dLbls>
          <c:showLegendKey val="0"/>
          <c:showVal val="0"/>
          <c:showCatName val="0"/>
          <c:showSerName val="0"/>
          <c:showPercent val="0"/>
          <c:showBubbleSize val="0"/>
        </c:dLbls>
        <c:gapWidth val="29"/>
        <c:overlap val="4"/>
        <c:axId val="413965024"/>
        <c:axId val="413970304"/>
      </c:barChart>
      <c:catAx>
        <c:axId val="41396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970304"/>
        <c:crosses val="autoZero"/>
        <c:auto val="1"/>
        <c:lblAlgn val="ctr"/>
        <c:lblOffset val="100"/>
        <c:noMultiLvlLbl val="0"/>
      </c:catAx>
      <c:valAx>
        <c:axId val="4139703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965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[PHARMACY.xlsx]pvtable!PivotTable4</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pvtable!$B$32</c:f>
              <c:strCache>
                <c:ptCount val="1"/>
                <c:pt idx="0">
                  <c:v>Total</c:v>
                </c:pt>
              </c:strCache>
            </c:strRef>
          </c:tx>
          <c:spPr>
            <a:solidFill>
              <a:schemeClr val="accent1"/>
            </a:solidFill>
            <a:ln>
              <a:noFill/>
            </a:ln>
            <a:effectLst/>
          </c:spPr>
          <c:invertIfNegative val="0"/>
          <c:cat>
            <c:strRef>
              <c:f>pvtable!$A$33:$A$42</c:f>
              <c:strCache>
                <c:ptCount val="9"/>
                <c:pt idx="0">
                  <c:v>Insulin</c:v>
                </c:pt>
                <c:pt idx="1">
                  <c:v>Cough Syrup</c:v>
                </c:pt>
                <c:pt idx="2">
                  <c:v>Azithromycin</c:v>
                </c:pt>
                <c:pt idx="3">
                  <c:v>Ibuprofen</c:v>
                </c:pt>
                <c:pt idx="4">
                  <c:v>Paracetamol</c:v>
                </c:pt>
                <c:pt idx="5">
                  <c:v>Lisinopril</c:v>
                </c:pt>
                <c:pt idx="6">
                  <c:v>Amoxicillin</c:v>
                </c:pt>
                <c:pt idx="7">
                  <c:v>Metformin</c:v>
                </c:pt>
                <c:pt idx="8">
                  <c:v>Vitamin C</c:v>
                </c:pt>
              </c:strCache>
            </c:strRef>
          </c:cat>
          <c:val>
            <c:numRef>
              <c:f>pvtable!$B$33:$B$42</c:f>
              <c:numCache>
                <c:formatCode>General</c:formatCode>
                <c:ptCount val="9"/>
                <c:pt idx="0">
                  <c:v>212</c:v>
                </c:pt>
                <c:pt idx="1">
                  <c:v>215</c:v>
                </c:pt>
                <c:pt idx="2">
                  <c:v>239</c:v>
                </c:pt>
                <c:pt idx="3">
                  <c:v>251</c:v>
                </c:pt>
                <c:pt idx="4">
                  <c:v>254</c:v>
                </c:pt>
                <c:pt idx="5">
                  <c:v>297</c:v>
                </c:pt>
                <c:pt idx="6">
                  <c:v>299</c:v>
                </c:pt>
                <c:pt idx="7">
                  <c:v>305</c:v>
                </c:pt>
                <c:pt idx="8">
                  <c:v>351</c:v>
                </c:pt>
              </c:numCache>
            </c:numRef>
          </c:val>
          <c:extLst>
            <c:ext xmlns:c16="http://schemas.microsoft.com/office/drawing/2014/chart" uri="{C3380CC4-5D6E-409C-BE32-E72D297353CC}">
              <c16:uniqueId val="{00000000-9613-4682-BEDC-EB25F8AF3106}"/>
            </c:ext>
          </c:extLst>
        </c:ser>
        <c:dLbls>
          <c:showLegendKey val="0"/>
          <c:showVal val="0"/>
          <c:showCatName val="0"/>
          <c:showSerName val="0"/>
          <c:showPercent val="0"/>
          <c:showBubbleSize val="0"/>
        </c:dLbls>
        <c:gapWidth val="20"/>
        <c:axId val="413963584"/>
        <c:axId val="413959264"/>
      </c:barChart>
      <c:catAx>
        <c:axId val="413963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959264"/>
        <c:crosses val="autoZero"/>
        <c:auto val="1"/>
        <c:lblAlgn val="ctr"/>
        <c:lblOffset val="100"/>
        <c:noMultiLvlLbl val="0"/>
      </c:catAx>
      <c:valAx>
        <c:axId val="4139592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963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247649</xdr:colOff>
      <xdr:row>1</xdr:row>
      <xdr:rowOff>137584</xdr:rowOff>
    </xdr:from>
    <xdr:to>
      <xdr:col>21</xdr:col>
      <xdr:colOff>447674</xdr:colOff>
      <xdr:row>36</xdr:row>
      <xdr:rowOff>148168</xdr:rowOff>
    </xdr:to>
    <xdr:sp macro="" textlink="">
      <xdr:nvSpPr>
        <xdr:cNvPr id="2" name="Rectangle 1">
          <a:extLst>
            <a:ext uri="{FF2B5EF4-FFF2-40B4-BE49-F238E27FC236}">
              <a16:creationId xmlns:a16="http://schemas.microsoft.com/office/drawing/2014/main" id="{94DC9CBF-7FFE-5BBA-0ABA-722F4C43DF5E}"/>
            </a:ext>
          </a:extLst>
        </xdr:cNvPr>
        <xdr:cNvSpPr/>
      </xdr:nvSpPr>
      <xdr:spPr>
        <a:xfrm>
          <a:off x="861482" y="328084"/>
          <a:ext cx="12476692" cy="6678084"/>
        </a:xfrm>
        <a:prstGeom prst="rect">
          <a:avLst/>
        </a:prstGeom>
        <a:solidFill>
          <a:srgbClr val="CDEA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304800</xdr:colOff>
      <xdr:row>5</xdr:row>
      <xdr:rowOff>129116</xdr:rowOff>
    </xdr:from>
    <xdr:to>
      <xdr:col>5</xdr:col>
      <xdr:colOff>126999</xdr:colOff>
      <xdr:row>36</xdr:row>
      <xdr:rowOff>68036</xdr:rowOff>
    </xdr:to>
    <xdr:sp macro="" textlink="">
      <xdr:nvSpPr>
        <xdr:cNvPr id="3" name="Rectangle 2">
          <a:extLst>
            <a:ext uri="{FF2B5EF4-FFF2-40B4-BE49-F238E27FC236}">
              <a16:creationId xmlns:a16="http://schemas.microsoft.com/office/drawing/2014/main" id="{B8AF330B-C669-0689-EF68-44F74A16FBBA}"/>
            </a:ext>
          </a:extLst>
        </xdr:cNvPr>
        <xdr:cNvSpPr/>
      </xdr:nvSpPr>
      <xdr:spPr>
        <a:xfrm>
          <a:off x="917121" y="1081616"/>
          <a:ext cx="2271485" cy="58444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5</xdr:col>
      <xdr:colOff>133348</xdr:colOff>
      <xdr:row>19</xdr:row>
      <xdr:rowOff>105833</xdr:rowOff>
    </xdr:from>
    <xdr:to>
      <xdr:col>10</xdr:col>
      <xdr:colOff>107549</xdr:colOff>
      <xdr:row>36</xdr:row>
      <xdr:rowOff>72388</xdr:rowOff>
    </xdr:to>
    <xdr:sp macro="" textlink="">
      <xdr:nvSpPr>
        <xdr:cNvPr id="4" name="Rectangle 3">
          <a:extLst>
            <a:ext uri="{FF2B5EF4-FFF2-40B4-BE49-F238E27FC236}">
              <a16:creationId xmlns:a16="http://schemas.microsoft.com/office/drawing/2014/main" id="{2B4DAF3D-E7D4-4088-B247-D06E06D10D2C}"/>
            </a:ext>
          </a:extLst>
        </xdr:cNvPr>
        <xdr:cNvSpPr/>
      </xdr:nvSpPr>
      <xdr:spPr>
        <a:xfrm>
          <a:off x="3194955" y="3725333"/>
          <a:ext cx="3035808" cy="320505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10</xdr:col>
      <xdr:colOff>133879</xdr:colOff>
      <xdr:row>23</xdr:row>
      <xdr:rowOff>171448</xdr:rowOff>
    </xdr:from>
    <xdr:to>
      <xdr:col>15</xdr:col>
      <xdr:colOff>539432</xdr:colOff>
      <xdr:row>36</xdr:row>
      <xdr:rowOff>72388</xdr:rowOff>
    </xdr:to>
    <xdr:sp macro="" textlink="">
      <xdr:nvSpPr>
        <xdr:cNvPr id="5" name="Rectangle 4">
          <a:extLst>
            <a:ext uri="{FF2B5EF4-FFF2-40B4-BE49-F238E27FC236}">
              <a16:creationId xmlns:a16="http://schemas.microsoft.com/office/drawing/2014/main" id="{2CC99DD1-6267-438C-B254-EEECFDEA356F}"/>
            </a:ext>
          </a:extLst>
        </xdr:cNvPr>
        <xdr:cNvSpPr/>
      </xdr:nvSpPr>
      <xdr:spPr>
        <a:xfrm>
          <a:off x="6257093" y="4552948"/>
          <a:ext cx="3467160" cy="23774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15</xdr:col>
      <xdr:colOff>591609</xdr:colOff>
      <xdr:row>23</xdr:row>
      <xdr:rowOff>171448</xdr:rowOff>
    </xdr:from>
    <xdr:to>
      <xdr:col>21</xdr:col>
      <xdr:colOff>383329</xdr:colOff>
      <xdr:row>36</xdr:row>
      <xdr:rowOff>72388</xdr:rowOff>
    </xdr:to>
    <xdr:sp macro="" textlink="">
      <xdr:nvSpPr>
        <xdr:cNvPr id="6" name="Rectangle 5">
          <a:extLst>
            <a:ext uri="{FF2B5EF4-FFF2-40B4-BE49-F238E27FC236}">
              <a16:creationId xmlns:a16="http://schemas.microsoft.com/office/drawing/2014/main" id="{A0C7A24C-D713-444E-98CE-61E7F552C249}"/>
            </a:ext>
          </a:extLst>
        </xdr:cNvPr>
        <xdr:cNvSpPr/>
      </xdr:nvSpPr>
      <xdr:spPr>
        <a:xfrm>
          <a:off x="9776430" y="4552948"/>
          <a:ext cx="3465649" cy="23774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10</xdr:col>
      <xdr:colOff>144993</xdr:colOff>
      <xdr:row>11</xdr:row>
      <xdr:rowOff>31750</xdr:rowOff>
    </xdr:from>
    <xdr:to>
      <xdr:col>15</xdr:col>
      <xdr:colOff>550546</xdr:colOff>
      <xdr:row>23</xdr:row>
      <xdr:rowOff>123190</xdr:rowOff>
    </xdr:to>
    <xdr:sp macro="" textlink="">
      <xdr:nvSpPr>
        <xdr:cNvPr id="7" name="Rectangle 6">
          <a:extLst>
            <a:ext uri="{FF2B5EF4-FFF2-40B4-BE49-F238E27FC236}">
              <a16:creationId xmlns:a16="http://schemas.microsoft.com/office/drawing/2014/main" id="{95267BFE-F47A-4431-9666-11ED30A67E41}"/>
            </a:ext>
          </a:extLst>
        </xdr:cNvPr>
        <xdr:cNvSpPr/>
      </xdr:nvSpPr>
      <xdr:spPr>
        <a:xfrm>
          <a:off x="6268207" y="2127250"/>
          <a:ext cx="3467160" cy="23774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15</xdr:col>
      <xdr:colOff>591609</xdr:colOff>
      <xdr:row>11</xdr:row>
      <xdr:rowOff>31750</xdr:rowOff>
    </xdr:from>
    <xdr:to>
      <xdr:col>21</xdr:col>
      <xdr:colOff>383329</xdr:colOff>
      <xdr:row>23</xdr:row>
      <xdr:rowOff>123190</xdr:rowOff>
    </xdr:to>
    <xdr:sp macro="" textlink="">
      <xdr:nvSpPr>
        <xdr:cNvPr id="8" name="Rectangle 7">
          <a:extLst>
            <a:ext uri="{FF2B5EF4-FFF2-40B4-BE49-F238E27FC236}">
              <a16:creationId xmlns:a16="http://schemas.microsoft.com/office/drawing/2014/main" id="{B7A4527C-EAF0-4CE0-B2EB-C3E44FAAD2F2}"/>
            </a:ext>
          </a:extLst>
        </xdr:cNvPr>
        <xdr:cNvSpPr/>
      </xdr:nvSpPr>
      <xdr:spPr>
        <a:xfrm>
          <a:off x="9776430" y="2127250"/>
          <a:ext cx="3465649" cy="23774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5</xdr:col>
      <xdr:colOff>155575</xdr:colOff>
      <xdr:row>11</xdr:row>
      <xdr:rowOff>31750</xdr:rowOff>
    </xdr:from>
    <xdr:to>
      <xdr:col>10</xdr:col>
      <xdr:colOff>103929</xdr:colOff>
      <xdr:row>19</xdr:row>
      <xdr:rowOff>63499</xdr:rowOff>
    </xdr:to>
    <xdr:sp macro="" textlink="">
      <xdr:nvSpPr>
        <xdr:cNvPr id="9" name="Rectangle 8">
          <a:extLst>
            <a:ext uri="{FF2B5EF4-FFF2-40B4-BE49-F238E27FC236}">
              <a16:creationId xmlns:a16="http://schemas.microsoft.com/office/drawing/2014/main" id="{BB04ADC3-4533-4EF4-A9C8-71F2576D586A}"/>
            </a:ext>
          </a:extLst>
        </xdr:cNvPr>
        <xdr:cNvSpPr/>
      </xdr:nvSpPr>
      <xdr:spPr>
        <a:xfrm>
          <a:off x="3217182" y="2127250"/>
          <a:ext cx="3009961" cy="155574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5</xdr:col>
      <xdr:colOff>169332</xdr:colOff>
      <xdr:row>5</xdr:row>
      <xdr:rowOff>129116</xdr:rowOff>
    </xdr:from>
    <xdr:to>
      <xdr:col>9</xdr:col>
      <xdr:colOff>182879</xdr:colOff>
      <xdr:row>10</xdr:row>
      <xdr:rowOff>182456</xdr:rowOff>
    </xdr:to>
    <xdr:sp macro="" textlink="">
      <xdr:nvSpPr>
        <xdr:cNvPr id="10" name="Rectangle: Rounded Corners 9">
          <a:extLst>
            <a:ext uri="{FF2B5EF4-FFF2-40B4-BE49-F238E27FC236}">
              <a16:creationId xmlns:a16="http://schemas.microsoft.com/office/drawing/2014/main" id="{04636CE8-66B6-0593-DBDC-80CF15C10F57}"/>
            </a:ext>
          </a:extLst>
        </xdr:cNvPr>
        <xdr:cNvSpPr/>
      </xdr:nvSpPr>
      <xdr:spPr>
        <a:xfrm>
          <a:off x="3230939" y="1081616"/>
          <a:ext cx="2462833" cy="100584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236149</xdr:colOff>
      <xdr:row>5</xdr:row>
      <xdr:rowOff>129116</xdr:rowOff>
    </xdr:from>
    <xdr:to>
      <xdr:col>13</xdr:col>
      <xdr:colOff>249696</xdr:colOff>
      <xdr:row>10</xdr:row>
      <xdr:rowOff>182456</xdr:rowOff>
    </xdr:to>
    <xdr:sp macro="" textlink="">
      <xdr:nvSpPr>
        <xdr:cNvPr id="11" name="Rectangle: Rounded Corners 10">
          <a:extLst>
            <a:ext uri="{FF2B5EF4-FFF2-40B4-BE49-F238E27FC236}">
              <a16:creationId xmlns:a16="http://schemas.microsoft.com/office/drawing/2014/main" id="{51689350-26E2-4011-82E6-D82B7D40948B}"/>
            </a:ext>
          </a:extLst>
        </xdr:cNvPr>
        <xdr:cNvSpPr/>
      </xdr:nvSpPr>
      <xdr:spPr>
        <a:xfrm>
          <a:off x="5747042" y="1081616"/>
          <a:ext cx="2462833" cy="100584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302966</xdr:colOff>
      <xdr:row>5</xdr:row>
      <xdr:rowOff>129116</xdr:rowOff>
    </xdr:from>
    <xdr:to>
      <xdr:col>17</xdr:col>
      <xdr:colOff>316512</xdr:colOff>
      <xdr:row>10</xdr:row>
      <xdr:rowOff>182456</xdr:rowOff>
    </xdr:to>
    <xdr:sp macro="" textlink="">
      <xdr:nvSpPr>
        <xdr:cNvPr id="12" name="Rectangle: Rounded Corners 11">
          <a:extLst>
            <a:ext uri="{FF2B5EF4-FFF2-40B4-BE49-F238E27FC236}">
              <a16:creationId xmlns:a16="http://schemas.microsoft.com/office/drawing/2014/main" id="{CCC3699A-93C1-4D6B-AEA9-DD7B26CA096D}"/>
            </a:ext>
          </a:extLst>
        </xdr:cNvPr>
        <xdr:cNvSpPr/>
      </xdr:nvSpPr>
      <xdr:spPr>
        <a:xfrm>
          <a:off x="8263145" y="1081616"/>
          <a:ext cx="2462831" cy="100584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369782</xdr:colOff>
      <xdr:row>5</xdr:row>
      <xdr:rowOff>129116</xdr:rowOff>
    </xdr:from>
    <xdr:to>
      <xdr:col>21</xdr:col>
      <xdr:colOff>383329</xdr:colOff>
      <xdr:row>10</xdr:row>
      <xdr:rowOff>182456</xdr:rowOff>
    </xdr:to>
    <xdr:sp macro="" textlink="">
      <xdr:nvSpPr>
        <xdr:cNvPr id="13" name="Rectangle: Rounded Corners 12">
          <a:extLst>
            <a:ext uri="{FF2B5EF4-FFF2-40B4-BE49-F238E27FC236}">
              <a16:creationId xmlns:a16="http://schemas.microsoft.com/office/drawing/2014/main" id="{552B138D-8022-4CF0-B9D2-C142B65EDE4F}"/>
            </a:ext>
          </a:extLst>
        </xdr:cNvPr>
        <xdr:cNvSpPr/>
      </xdr:nvSpPr>
      <xdr:spPr>
        <a:xfrm>
          <a:off x="10779246" y="1081616"/>
          <a:ext cx="2462833" cy="100584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312965</xdr:colOff>
      <xdr:row>2</xdr:row>
      <xdr:rowOff>31750</xdr:rowOff>
    </xdr:from>
    <xdr:to>
      <xdr:col>21</xdr:col>
      <xdr:colOff>383329</xdr:colOff>
      <xdr:row>5</xdr:row>
      <xdr:rowOff>52917</xdr:rowOff>
    </xdr:to>
    <xdr:sp macro="" textlink="">
      <xdr:nvSpPr>
        <xdr:cNvPr id="14" name="Rectangle: Top Corners Rounded 13">
          <a:extLst>
            <a:ext uri="{FF2B5EF4-FFF2-40B4-BE49-F238E27FC236}">
              <a16:creationId xmlns:a16="http://schemas.microsoft.com/office/drawing/2014/main" id="{EFE889D0-03C1-259C-9A45-6ED7259899E9}"/>
            </a:ext>
          </a:extLst>
        </xdr:cNvPr>
        <xdr:cNvSpPr/>
      </xdr:nvSpPr>
      <xdr:spPr>
        <a:xfrm>
          <a:off x="925286" y="412750"/>
          <a:ext cx="12316793" cy="592667"/>
        </a:xfrm>
        <a:prstGeom prst="round2SameRect">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133878</xdr:colOff>
      <xdr:row>13</xdr:row>
      <xdr:rowOff>27215</xdr:rowOff>
    </xdr:from>
    <xdr:to>
      <xdr:col>15</xdr:col>
      <xdr:colOff>519563</xdr:colOff>
      <xdr:row>23</xdr:row>
      <xdr:rowOff>133895</xdr:rowOff>
    </xdr:to>
    <xdr:graphicFrame macro="">
      <xdr:nvGraphicFramePr>
        <xdr:cNvPr id="15" name="Chart 1">
          <a:extLst>
            <a:ext uri="{FF2B5EF4-FFF2-40B4-BE49-F238E27FC236}">
              <a16:creationId xmlns:a16="http://schemas.microsoft.com/office/drawing/2014/main" id="{5765517D-00D0-4BDF-AC94-552069F56E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6500</xdr:colOff>
      <xdr:row>13</xdr:row>
      <xdr:rowOff>27215</xdr:rowOff>
    </xdr:from>
    <xdr:to>
      <xdr:col>21</xdr:col>
      <xdr:colOff>392181</xdr:colOff>
      <xdr:row>23</xdr:row>
      <xdr:rowOff>133895</xdr:rowOff>
    </xdr:to>
    <xdr:graphicFrame macro="">
      <xdr:nvGraphicFramePr>
        <xdr:cNvPr id="16" name="Chart 3">
          <a:extLst>
            <a:ext uri="{FF2B5EF4-FFF2-40B4-BE49-F238E27FC236}">
              <a16:creationId xmlns:a16="http://schemas.microsoft.com/office/drawing/2014/main" id="{D638DD1B-24AA-416B-9D23-04432029DA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133878</xdr:colOff>
      <xdr:row>25</xdr:row>
      <xdr:rowOff>122464</xdr:rowOff>
    </xdr:from>
    <xdr:to>
      <xdr:col>15</xdr:col>
      <xdr:colOff>519559</xdr:colOff>
      <xdr:row>36</xdr:row>
      <xdr:rowOff>38644</xdr:rowOff>
    </xdr:to>
    <xdr:graphicFrame macro="">
      <xdr:nvGraphicFramePr>
        <xdr:cNvPr id="17" name="Chart 5">
          <a:extLst>
            <a:ext uri="{FF2B5EF4-FFF2-40B4-BE49-F238E27FC236}">
              <a16:creationId xmlns:a16="http://schemas.microsoft.com/office/drawing/2014/main" id="{43092300-6967-4597-8261-DD68475E59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6500</xdr:colOff>
      <xdr:row>25</xdr:row>
      <xdr:rowOff>122464</xdr:rowOff>
    </xdr:from>
    <xdr:to>
      <xdr:col>21</xdr:col>
      <xdr:colOff>392181</xdr:colOff>
      <xdr:row>36</xdr:row>
      <xdr:rowOff>38644</xdr:rowOff>
    </xdr:to>
    <xdr:graphicFrame macro="">
      <xdr:nvGraphicFramePr>
        <xdr:cNvPr id="18" name="Chart 6">
          <a:extLst>
            <a:ext uri="{FF2B5EF4-FFF2-40B4-BE49-F238E27FC236}">
              <a16:creationId xmlns:a16="http://schemas.microsoft.com/office/drawing/2014/main" id="{7B5BBDAE-BCB4-42FE-A646-3327FC65B8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160563</xdr:colOff>
      <xdr:row>21</xdr:row>
      <xdr:rowOff>13607</xdr:rowOff>
    </xdr:from>
    <xdr:to>
      <xdr:col>10</xdr:col>
      <xdr:colOff>40822</xdr:colOff>
      <xdr:row>36</xdr:row>
      <xdr:rowOff>25890</xdr:rowOff>
    </xdr:to>
    <xdr:graphicFrame macro="">
      <xdr:nvGraphicFramePr>
        <xdr:cNvPr id="19" name="Chart 4">
          <a:extLst>
            <a:ext uri="{FF2B5EF4-FFF2-40B4-BE49-F238E27FC236}">
              <a16:creationId xmlns:a16="http://schemas.microsoft.com/office/drawing/2014/main" id="{78C62F48-8805-4E54-902C-4678A7102C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258536</xdr:colOff>
      <xdr:row>5</xdr:row>
      <xdr:rowOff>176893</xdr:rowOff>
    </xdr:from>
    <xdr:to>
      <xdr:col>9</xdr:col>
      <xdr:colOff>81643</xdr:colOff>
      <xdr:row>10</xdr:row>
      <xdr:rowOff>95250</xdr:rowOff>
    </xdr:to>
    <xdr:sp macro="" textlink="">
      <xdr:nvSpPr>
        <xdr:cNvPr id="20" name="TextBox 19">
          <a:extLst>
            <a:ext uri="{FF2B5EF4-FFF2-40B4-BE49-F238E27FC236}">
              <a16:creationId xmlns:a16="http://schemas.microsoft.com/office/drawing/2014/main" id="{7B3FB225-D0A2-A673-EB8F-2A30D9567ED9}"/>
            </a:ext>
          </a:extLst>
        </xdr:cNvPr>
        <xdr:cNvSpPr txBox="1"/>
      </xdr:nvSpPr>
      <xdr:spPr>
        <a:xfrm>
          <a:off x="3320143" y="1129393"/>
          <a:ext cx="2272393" cy="8708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i="0">
              <a:solidFill>
                <a:schemeClr val="dk1"/>
              </a:solidFill>
              <a:effectLst/>
              <a:latin typeface="Aptos" panose="020B0004020202020204" pitchFamily="34" charset="0"/>
              <a:ea typeface="+mn-ea"/>
              <a:cs typeface="+mn-cs"/>
            </a:rPr>
            <a:t>   ₦ 6073104</a:t>
          </a:r>
          <a:endParaRPr lang="en-US" sz="2000" b="1">
            <a:effectLst/>
            <a:latin typeface="Aptos" panose="020B0004020202020204" pitchFamily="34" charset="0"/>
          </a:endParaRPr>
        </a:p>
        <a:p>
          <a:pPr algn="ctr"/>
          <a:br>
            <a:rPr lang="en-US" sz="1400" b="1">
              <a:solidFill>
                <a:schemeClr val="dk1"/>
              </a:solidFill>
              <a:effectLst/>
              <a:latin typeface="Aptos" panose="020B0004020202020204" pitchFamily="34" charset="0"/>
              <a:ea typeface="+mn-ea"/>
              <a:cs typeface="+mn-cs"/>
            </a:rPr>
          </a:br>
          <a:r>
            <a:rPr lang="en-US" sz="1400" b="1">
              <a:solidFill>
                <a:schemeClr val="dk1"/>
              </a:solidFill>
              <a:effectLst/>
              <a:latin typeface="Aptos" panose="020B0004020202020204" pitchFamily="34" charset="0"/>
              <a:ea typeface="+mn-ea"/>
              <a:cs typeface="+mn-cs"/>
            </a:rPr>
            <a:t>   Total Revenue</a:t>
          </a:r>
          <a:endParaRPr lang="en-US" sz="1400" b="1">
            <a:effectLst/>
            <a:latin typeface="Aptos" panose="020B0004020202020204" pitchFamily="34" charset="0"/>
          </a:endParaRPr>
        </a:p>
        <a:p>
          <a:endParaRPr lang="en-US" sz="1100"/>
        </a:p>
      </xdr:txBody>
    </xdr:sp>
    <xdr:clientData/>
  </xdr:twoCellAnchor>
  <xdr:twoCellAnchor>
    <xdr:from>
      <xdr:col>13</xdr:col>
      <xdr:colOff>408215</xdr:colOff>
      <xdr:row>6</xdr:row>
      <xdr:rowOff>0</xdr:rowOff>
    </xdr:from>
    <xdr:to>
      <xdr:col>17</xdr:col>
      <xdr:colOff>217716</xdr:colOff>
      <xdr:row>10</xdr:row>
      <xdr:rowOff>81643</xdr:rowOff>
    </xdr:to>
    <xdr:sp macro="" textlink="">
      <xdr:nvSpPr>
        <xdr:cNvPr id="21" name="TextBox 20">
          <a:extLst>
            <a:ext uri="{FF2B5EF4-FFF2-40B4-BE49-F238E27FC236}">
              <a16:creationId xmlns:a16="http://schemas.microsoft.com/office/drawing/2014/main" id="{CE184EA9-F4A3-BD7F-F7A0-E1572140FB27}"/>
            </a:ext>
          </a:extLst>
        </xdr:cNvPr>
        <xdr:cNvSpPr txBox="1"/>
      </xdr:nvSpPr>
      <xdr:spPr>
        <a:xfrm>
          <a:off x="8368394" y="1143000"/>
          <a:ext cx="2258786" cy="843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a:r>
            <a:rPr lang="en-US" sz="2000" b="1" i="0">
              <a:solidFill>
                <a:schemeClr val="dk1"/>
              </a:solidFill>
              <a:effectLst/>
              <a:latin typeface="Aptos" panose="020B0004020202020204" pitchFamily="34" charset="0"/>
              <a:ea typeface="+mn-ea"/>
              <a:cs typeface="+mn-cs"/>
            </a:rPr>
            <a:t>20243.7</a:t>
          </a:r>
          <a:r>
            <a:rPr lang="en-US" sz="2000" b="1">
              <a:solidFill>
                <a:schemeClr val="dk1"/>
              </a:solidFill>
              <a:effectLst/>
              <a:latin typeface="Aptos" panose="020B0004020202020204" pitchFamily="34" charset="0"/>
              <a:ea typeface="+mn-ea"/>
              <a:cs typeface="+mn-cs"/>
            </a:rPr>
            <a:t> </a:t>
          </a:r>
          <a:endParaRPr lang="en-US" sz="2000">
            <a:effectLst/>
            <a:latin typeface="Aptos" panose="020B0004020202020204" pitchFamily="34" charset="0"/>
          </a:endParaRPr>
        </a:p>
        <a:p>
          <a:pPr algn="ctr" rtl="0"/>
          <a:br>
            <a:rPr lang="en-US" sz="1400" b="1" i="0" baseline="0">
              <a:solidFill>
                <a:schemeClr val="dk1"/>
              </a:solidFill>
              <a:effectLst/>
              <a:latin typeface="Aptos" panose="020B0004020202020204" pitchFamily="34" charset="0"/>
              <a:ea typeface="+mn-ea"/>
              <a:cs typeface="+mn-cs"/>
            </a:rPr>
          </a:br>
          <a:r>
            <a:rPr lang="en-US" sz="1400" b="1" i="0" baseline="0">
              <a:solidFill>
                <a:schemeClr val="dk1"/>
              </a:solidFill>
              <a:effectLst/>
              <a:latin typeface="Aptos" panose="020B0004020202020204" pitchFamily="34" charset="0"/>
              <a:ea typeface="+mn-ea"/>
              <a:cs typeface="+mn-cs"/>
            </a:rPr>
            <a:t>Avg Sales per Transaction</a:t>
          </a:r>
          <a:endParaRPr lang="en-US" sz="1400">
            <a:effectLst/>
            <a:latin typeface="Aptos" panose="020B0004020202020204" pitchFamily="34" charset="0"/>
          </a:endParaRPr>
        </a:p>
        <a:p>
          <a:endParaRPr lang="en-US" sz="1100"/>
        </a:p>
      </xdr:txBody>
    </xdr:sp>
    <xdr:clientData/>
  </xdr:twoCellAnchor>
  <xdr:twoCellAnchor>
    <xdr:from>
      <xdr:col>9</xdr:col>
      <xdr:colOff>285750</xdr:colOff>
      <xdr:row>5</xdr:row>
      <xdr:rowOff>176893</xdr:rowOff>
    </xdr:from>
    <xdr:to>
      <xdr:col>13</xdr:col>
      <xdr:colOff>190500</xdr:colOff>
      <xdr:row>10</xdr:row>
      <xdr:rowOff>68036</xdr:rowOff>
    </xdr:to>
    <xdr:sp macro="" textlink="">
      <xdr:nvSpPr>
        <xdr:cNvPr id="25" name="TextBox 24">
          <a:extLst>
            <a:ext uri="{FF2B5EF4-FFF2-40B4-BE49-F238E27FC236}">
              <a16:creationId xmlns:a16="http://schemas.microsoft.com/office/drawing/2014/main" id="{F19523B2-D2CC-8802-4F4D-3CC939DDA04D}"/>
            </a:ext>
          </a:extLst>
        </xdr:cNvPr>
        <xdr:cNvSpPr txBox="1"/>
      </xdr:nvSpPr>
      <xdr:spPr>
        <a:xfrm>
          <a:off x="5796643" y="1129393"/>
          <a:ext cx="2354036" cy="843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a:r>
            <a:rPr lang="en-US" sz="2000" b="1" i="0">
              <a:solidFill>
                <a:schemeClr val="dk1"/>
              </a:solidFill>
              <a:effectLst/>
              <a:latin typeface="Aptos" panose="020B0004020202020204" pitchFamily="34" charset="0"/>
              <a:ea typeface="+mn-ea"/>
              <a:cs typeface="+mn-cs"/>
            </a:rPr>
            <a:t>300</a:t>
          </a:r>
          <a:r>
            <a:rPr lang="en-US" sz="2000" b="1">
              <a:solidFill>
                <a:schemeClr val="dk1"/>
              </a:solidFill>
              <a:effectLst/>
              <a:latin typeface="Aptos" panose="020B0004020202020204" pitchFamily="34" charset="0"/>
              <a:ea typeface="+mn-ea"/>
              <a:cs typeface="+mn-cs"/>
            </a:rPr>
            <a:t> </a:t>
          </a:r>
        </a:p>
        <a:p>
          <a:pPr algn="ctr" rtl="0"/>
          <a:endParaRPr lang="en-US" sz="1400" b="1">
            <a:effectLst/>
            <a:latin typeface="Aptos" panose="020B0004020202020204" pitchFamily="34" charset="0"/>
          </a:endParaRPr>
        </a:p>
        <a:p>
          <a:pPr algn="ctr" rtl="0"/>
          <a:r>
            <a:rPr lang="en-US" sz="1400" b="1" i="0" baseline="0">
              <a:solidFill>
                <a:schemeClr val="dk1"/>
              </a:solidFill>
              <a:effectLst/>
              <a:latin typeface="Aptos" panose="020B0004020202020204" pitchFamily="34" charset="0"/>
              <a:ea typeface="+mn-ea"/>
              <a:cs typeface="+mn-cs"/>
            </a:rPr>
            <a:t>Total Transactions</a:t>
          </a:r>
          <a:endParaRPr lang="en-US" sz="1400" b="1">
            <a:effectLst/>
            <a:latin typeface="Aptos" panose="020B0004020202020204" pitchFamily="34" charset="0"/>
          </a:endParaRPr>
        </a:p>
        <a:p>
          <a:endParaRPr lang="en-US" sz="1100"/>
        </a:p>
      </xdr:txBody>
    </xdr:sp>
    <xdr:clientData/>
  </xdr:twoCellAnchor>
  <xdr:twoCellAnchor>
    <xdr:from>
      <xdr:col>17</xdr:col>
      <xdr:colOff>421822</xdr:colOff>
      <xdr:row>5</xdr:row>
      <xdr:rowOff>176893</xdr:rowOff>
    </xdr:from>
    <xdr:to>
      <xdr:col>21</xdr:col>
      <xdr:colOff>326571</xdr:colOff>
      <xdr:row>10</xdr:row>
      <xdr:rowOff>81642</xdr:rowOff>
    </xdr:to>
    <xdr:sp macro="" textlink="">
      <xdr:nvSpPr>
        <xdr:cNvPr id="26" name="TextBox 25">
          <a:extLst>
            <a:ext uri="{FF2B5EF4-FFF2-40B4-BE49-F238E27FC236}">
              <a16:creationId xmlns:a16="http://schemas.microsoft.com/office/drawing/2014/main" id="{94F9B5CA-4B03-3B9A-67A0-007929EA89F9}"/>
            </a:ext>
          </a:extLst>
        </xdr:cNvPr>
        <xdr:cNvSpPr txBox="1"/>
      </xdr:nvSpPr>
      <xdr:spPr>
        <a:xfrm>
          <a:off x="10831286" y="1129393"/>
          <a:ext cx="2354035" cy="8572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a:r>
            <a:rPr lang="en-US" sz="2000" b="1" i="0">
              <a:solidFill>
                <a:schemeClr val="dk1"/>
              </a:solidFill>
              <a:effectLst/>
              <a:latin typeface="Aptos" panose="020B0004020202020204" pitchFamily="34" charset="0"/>
              <a:ea typeface="+mn-ea"/>
              <a:cs typeface="+mn-cs"/>
            </a:rPr>
            <a:t>2423</a:t>
          </a:r>
          <a:r>
            <a:rPr lang="en-US" sz="2000" b="1">
              <a:solidFill>
                <a:schemeClr val="dk1"/>
              </a:solidFill>
              <a:effectLst/>
              <a:latin typeface="Aptos" panose="020B0004020202020204" pitchFamily="34" charset="0"/>
              <a:ea typeface="+mn-ea"/>
              <a:cs typeface="+mn-cs"/>
            </a:rPr>
            <a:t> </a:t>
          </a:r>
        </a:p>
        <a:p>
          <a:pPr algn="ctr" rtl="0"/>
          <a:endParaRPr lang="en-US" sz="1400">
            <a:effectLst/>
            <a:latin typeface="Aptos" panose="020B0004020202020204" pitchFamily="34" charset="0"/>
          </a:endParaRPr>
        </a:p>
        <a:p>
          <a:pPr algn="ctr" rtl="0"/>
          <a:r>
            <a:rPr lang="en-US" sz="1400" b="1" i="0" baseline="0">
              <a:solidFill>
                <a:schemeClr val="dk1"/>
              </a:solidFill>
              <a:effectLst/>
              <a:latin typeface="Aptos" panose="020B0004020202020204" pitchFamily="34" charset="0"/>
              <a:ea typeface="+mn-ea"/>
              <a:cs typeface="+mn-cs"/>
            </a:rPr>
            <a:t>Total Quantity Sold</a:t>
          </a:r>
          <a:endParaRPr lang="en-US" sz="1400">
            <a:effectLst/>
            <a:latin typeface="Aptos" panose="020B0004020202020204" pitchFamily="34" charset="0"/>
          </a:endParaRPr>
        </a:p>
        <a:p>
          <a:endParaRPr lang="en-US" sz="1100"/>
        </a:p>
      </xdr:txBody>
    </xdr:sp>
    <xdr:clientData/>
  </xdr:twoCellAnchor>
  <xdr:twoCellAnchor>
    <xdr:from>
      <xdr:col>5</xdr:col>
      <xdr:colOff>204107</xdr:colOff>
      <xdr:row>11</xdr:row>
      <xdr:rowOff>54428</xdr:rowOff>
    </xdr:from>
    <xdr:to>
      <xdr:col>7</xdr:col>
      <xdr:colOff>396784</xdr:colOff>
      <xdr:row>18</xdr:row>
      <xdr:rowOff>183968</xdr:rowOff>
    </xdr:to>
    <xdr:sp macro="" textlink="">
      <xdr:nvSpPr>
        <xdr:cNvPr id="27" name="TextBox 26">
          <a:extLst>
            <a:ext uri="{FF2B5EF4-FFF2-40B4-BE49-F238E27FC236}">
              <a16:creationId xmlns:a16="http://schemas.microsoft.com/office/drawing/2014/main" id="{3B9A96D7-C757-1806-6CE3-8091E93F44F6}"/>
            </a:ext>
          </a:extLst>
        </xdr:cNvPr>
        <xdr:cNvSpPr txBox="1"/>
      </xdr:nvSpPr>
      <xdr:spPr>
        <a:xfrm>
          <a:off x="3265714" y="2149928"/>
          <a:ext cx="1417320" cy="14630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i="0">
              <a:solidFill>
                <a:schemeClr val="dk1"/>
              </a:solidFill>
              <a:effectLst/>
              <a:latin typeface="Aptos" panose="020B0004020202020204" pitchFamily="34" charset="0"/>
              <a:ea typeface="+mn-ea"/>
              <a:cs typeface="+mn-cs"/>
            </a:rPr>
            <a:t>2506.4</a:t>
          </a:r>
          <a:r>
            <a:rPr lang="en-US" sz="2000" b="1">
              <a:solidFill>
                <a:schemeClr val="dk1"/>
              </a:solidFill>
              <a:effectLst/>
              <a:latin typeface="Aptos" panose="020B0004020202020204" pitchFamily="34" charset="0"/>
              <a:ea typeface="+mn-ea"/>
              <a:cs typeface="+mn-cs"/>
            </a:rPr>
            <a:t> </a:t>
          </a:r>
        </a:p>
        <a:p>
          <a:pPr algn="ctr"/>
          <a:endParaRPr lang="en-US" sz="1400" b="1">
            <a:solidFill>
              <a:schemeClr val="dk1"/>
            </a:solidFill>
            <a:effectLst/>
            <a:latin typeface="Aptos" panose="020B0004020202020204" pitchFamily="34" charset="0"/>
            <a:ea typeface="+mn-ea"/>
            <a:cs typeface="+mn-cs"/>
          </a:endParaRPr>
        </a:p>
        <a:p>
          <a:pPr algn="ctr"/>
          <a:endParaRPr lang="en-US" sz="1400" b="1">
            <a:effectLst/>
            <a:latin typeface="Aptos" panose="020B0004020202020204" pitchFamily="34" charset="0"/>
          </a:endParaRPr>
        </a:p>
        <a:p>
          <a:pPr algn="ctr"/>
          <a:r>
            <a:rPr lang="en-US" sz="1400" b="1">
              <a:solidFill>
                <a:schemeClr val="dk1"/>
              </a:solidFill>
              <a:effectLst/>
              <a:latin typeface="Aptos" panose="020B0004020202020204" pitchFamily="34" charset="0"/>
              <a:ea typeface="+mn-ea"/>
              <a:cs typeface="+mn-cs"/>
            </a:rPr>
            <a:t>Revenue per Unit</a:t>
          </a:r>
          <a:endParaRPr lang="en-US" sz="1400" b="1">
            <a:effectLst/>
            <a:latin typeface="Aptos" panose="020B0004020202020204" pitchFamily="34" charset="0"/>
          </a:endParaRPr>
        </a:p>
        <a:p>
          <a:endParaRPr lang="en-US" sz="1100"/>
        </a:p>
      </xdr:txBody>
    </xdr:sp>
    <xdr:clientData/>
  </xdr:twoCellAnchor>
  <xdr:twoCellAnchor>
    <xdr:from>
      <xdr:col>7</xdr:col>
      <xdr:colOff>462643</xdr:colOff>
      <xdr:row>11</xdr:row>
      <xdr:rowOff>54429</xdr:rowOff>
    </xdr:from>
    <xdr:to>
      <xdr:col>10</xdr:col>
      <xdr:colOff>42999</xdr:colOff>
      <xdr:row>18</xdr:row>
      <xdr:rowOff>183969</xdr:rowOff>
    </xdr:to>
    <xdr:sp macro="" textlink="">
      <xdr:nvSpPr>
        <xdr:cNvPr id="29" name="TextBox 28">
          <a:extLst>
            <a:ext uri="{FF2B5EF4-FFF2-40B4-BE49-F238E27FC236}">
              <a16:creationId xmlns:a16="http://schemas.microsoft.com/office/drawing/2014/main" id="{D6AD1511-E592-E589-FAEA-C7B05AB3F5C4}"/>
            </a:ext>
          </a:extLst>
        </xdr:cNvPr>
        <xdr:cNvSpPr txBox="1"/>
      </xdr:nvSpPr>
      <xdr:spPr>
        <a:xfrm>
          <a:off x="4748893" y="2149929"/>
          <a:ext cx="1417320" cy="14630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i="0">
              <a:solidFill>
                <a:schemeClr val="dk1"/>
              </a:solidFill>
              <a:effectLst/>
              <a:latin typeface="Aptos" panose="020B0004020202020204" pitchFamily="34" charset="0"/>
              <a:ea typeface="+mn-ea"/>
              <a:cs typeface="+mn-cs"/>
            </a:rPr>
            <a:t>2525.5</a:t>
          </a:r>
          <a:r>
            <a:rPr lang="en-US" sz="2000" b="1">
              <a:solidFill>
                <a:schemeClr val="dk1"/>
              </a:solidFill>
              <a:effectLst/>
              <a:latin typeface="Aptos" panose="020B0004020202020204" pitchFamily="34" charset="0"/>
              <a:ea typeface="+mn-ea"/>
              <a:cs typeface="+mn-cs"/>
            </a:rPr>
            <a:t> </a:t>
          </a:r>
        </a:p>
        <a:p>
          <a:pPr algn="ctr"/>
          <a:endParaRPr lang="en-US" sz="1400" b="1">
            <a:solidFill>
              <a:schemeClr val="dk1"/>
            </a:solidFill>
            <a:effectLst/>
            <a:latin typeface="Aptos" panose="020B0004020202020204" pitchFamily="34" charset="0"/>
            <a:ea typeface="+mn-ea"/>
            <a:cs typeface="+mn-cs"/>
          </a:endParaRPr>
        </a:p>
        <a:p>
          <a:pPr algn="ctr"/>
          <a:endParaRPr lang="en-US" sz="1400" b="1">
            <a:effectLst/>
            <a:latin typeface="Aptos" panose="020B0004020202020204" pitchFamily="34" charset="0"/>
          </a:endParaRPr>
        </a:p>
        <a:p>
          <a:pPr algn="ctr"/>
          <a:r>
            <a:rPr lang="en-US" sz="1400" b="1">
              <a:solidFill>
                <a:schemeClr val="dk1"/>
              </a:solidFill>
              <a:effectLst/>
              <a:latin typeface="Aptos" panose="020B0004020202020204" pitchFamily="34" charset="0"/>
              <a:ea typeface="+mn-ea"/>
              <a:cs typeface="+mn-cs"/>
            </a:rPr>
            <a:t>Average Unit Price</a:t>
          </a:r>
          <a:endParaRPr lang="en-US" sz="1400" b="1">
            <a:effectLst/>
            <a:latin typeface="Aptos" panose="020B0004020202020204" pitchFamily="34" charset="0"/>
          </a:endParaRPr>
        </a:p>
        <a:p>
          <a:endParaRPr lang="en-US" sz="1100"/>
        </a:p>
      </xdr:txBody>
    </xdr:sp>
    <xdr:clientData/>
  </xdr:twoCellAnchor>
  <xdr:twoCellAnchor editAs="oneCell">
    <xdr:from>
      <xdr:col>1</xdr:col>
      <xdr:colOff>304801</xdr:colOff>
      <xdr:row>23</xdr:row>
      <xdr:rowOff>183546</xdr:rowOff>
    </xdr:from>
    <xdr:to>
      <xdr:col>5</xdr:col>
      <xdr:colOff>50075</xdr:colOff>
      <xdr:row>36</xdr:row>
      <xdr:rowOff>75596</xdr:rowOff>
    </xdr:to>
    <mc:AlternateContent xmlns:mc="http://schemas.openxmlformats.org/markup-compatibility/2006">
      <mc:Choice xmlns:a14="http://schemas.microsoft.com/office/drawing/2010/main" Requires="a14">
        <xdr:graphicFrame macro="">
          <xdr:nvGraphicFramePr>
            <xdr:cNvPr id="30" name="Drug_Category 2">
              <a:extLst>
                <a:ext uri="{FF2B5EF4-FFF2-40B4-BE49-F238E27FC236}">
                  <a16:creationId xmlns:a16="http://schemas.microsoft.com/office/drawing/2014/main" id="{2C1C48FE-CE36-4A07-9BC0-741F9815CCC3}"/>
                </a:ext>
              </a:extLst>
            </xdr:cNvPr>
            <xdr:cNvGraphicFramePr/>
          </xdr:nvGraphicFramePr>
          <xdr:xfrm>
            <a:off x="0" y="0"/>
            <a:ext cx="0" cy="0"/>
          </xdr:xfrm>
          <a:graphic>
            <a:graphicData uri="http://schemas.microsoft.com/office/drawing/2010/slicer">
              <sle:slicer xmlns:sle="http://schemas.microsoft.com/office/drawing/2010/slicer" name="Drug_Category 2"/>
            </a:graphicData>
          </a:graphic>
        </xdr:graphicFrame>
      </mc:Choice>
      <mc:Fallback>
        <xdr:sp macro="" textlink="">
          <xdr:nvSpPr>
            <xdr:cNvPr id="0" name=""/>
            <xdr:cNvSpPr>
              <a:spLocks noTextEdit="1"/>
            </xdr:cNvSpPr>
          </xdr:nvSpPr>
          <xdr:spPr>
            <a:xfrm>
              <a:off x="912020" y="4565046"/>
              <a:ext cx="2174149" cy="2368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304801</xdr:colOff>
      <xdr:row>17</xdr:row>
      <xdr:rowOff>61080</xdr:rowOff>
    </xdr:from>
    <xdr:to>
      <xdr:col>5</xdr:col>
      <xdr:colOff>50075</xdr:colOff>
      <xdr:row>23</xdr:row>
      <xdr:rowOff>179009</xdr:rowOff>
    </xdr:to>
    <mc:AlternateContent xmlns:mc="http://schemas.openxmlformats.org/markup-compatibility/2006">
      <mc:Choice xmlns:a14="http://schemas.microsoft.com/office/drawing/2010/main" Requires="a14">
        <xdr:graphicFrame macro="">
          <xdr:nvGraphicFramePr>
            <xdr:cNvPr id="31" name="Customer_Type 2">
              <a:extLst>
                <a:ext uri="{FF2B5EF4-FFF2-40B4-BE49-F238E27FC236}">
                  <a16:creationId xmlns:a16="http://schemas.microsoft.com/office/drawing/2014/main" id="{697A6FBF-C2DE-4CC8-9285-5238F0A39F2D}"/>
                </a:ext>
              </a:extLst>
            </xdr:cNvPr>
            <xdr:cNvGraphicFramePr/>
          </xdr:nvGraphicFramePr>
          <xdr:xfrm>
            <a:off x="0" y="0"/>
            <a:ext cx="0" cy="0"/>
          </xdr:xfrm>
          <a:graphic>
            <a:graphicData uri="http://schemas.microsoft.com/office/drawing/2010/slicer">
              <sle:slicer xmlns:sle="http://schemas.microsoft.com/office/drawing/2010/slicer" name="Customer_Type 2"/>
            </a:graphicData>
          </a:graphic>
        </xdr:graphicFrame>
      </mc:Choice>
      <mc:Fallback>
        <xdr:sp macro="" textlink="">
          <xdr:nvSpPr>
            <xdr:cNvPr id="0" name=""/>
            <xdr:cNvSpPr>
              <a:spLocks noTextEdit="1"/>
            </xdr:cNvSpPr>
          </xdr:nvSpPr>
          <xdr:spPr>
            <a:xfrm>
              <a:off x="912020" y="3299580"/>
              <a:ext cx="2174149" cy="12609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304801</xdr:colOff>
      <xdr:row>10</xdr:row>
      <xdr:rowOff>169937</xdr:rowOff>
    </xdr:from>
    <xdr:to>
      <xdr:col>5</xdr:col>
      <xdr:colOff>50075</xdr:colOff>
      <xdr:row>17</xdr:row>
      <xdr:rowOff>78315</xdr:rowOff>
    </xdr:to>
    <mc:AlternateContent xmlns:mc="http://schemas.openxmlformats.org/markup-compatibility/2006">
      <mc:Choice xmlns:a14="http://schemas.microsoft.com/office/drawing/2010/main" Requires="a14">
        <xdr:graphicFrame macro="">
          <xdr:nvGraphicFramePr>
            <xdr:cNvPr id="32" name="Payment_Method 2">
              <a:extLst>
                <a:ext uri="{FF2B5EF4-FFF2-40B4-BE49-F238E27FC236}">
                  <a16:creationId xmlns:a16="http://schemas.microsoft.com/office/drawing/2014/main" id="{986247C0-2073-48BB-80C7-7835F6F5B350}"/>
                </a:ext>
              </a:extLst>
            </xdr:cNvPr>
            <xdr:cNvGraphicFramePr/>
          </xdr:nvGraphicFramePr>
          <xdr:xfrm>
            <a:off x="0" y="0"/>
            <a:ext cx="0" cy="0"/>
          </xdr:xfrm>
          <a:graphic>
            <a:graphicData uri="http://schemas.microsoft.com/office/drawing/2010/slicer">
              <sle:slicer xmlns:sle="http://schemas.microsoft.com/office/drawing/2010/slicer" name="Payment_Method 2"/>
            </a:graphicData>
          </a:graphic>
        </xdr:graphicFrame>
      </mc:Choice>
      <mc:Fallback>
        <xdr:sp macro="" textlink="">
          <xdr:nvSpPr>
            <xdr:cNvPr id="0" name=""/>
            <xdr:cNvSpPr>
              <a:spLocks noTextEdit="1"/>
            </xdr:cNvSpPr>
          </xdr:nvSpPr>
          <xdr:spPr>
            <a:xfrm>
              <a:off x="912020" y="2074937"/>
              <a:ext cx="2174149" cy="12418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304800</xdr:colOff>
      <xdr:row>5</xdr:row>
      <xdr:rowOff>183545</xdr:rowOff>
    </xdr:from>
    <xdr:to>
      <xdr:col>5</xdr:col>
      <xdr:colOff>50074</xdr:colOff>
      <xdr:row>10</xdr:row>
      <xdr:rowOff>176288</xdr:rowOff>
    </xdr:to>
    <mc:AlternateContent xmlns:mc="http://schemas.openxmlformats.org/markup-compatibility/2006">
      <mc:Choice xmlns:a14="http://schemas.microsoft.com/office/drawing/2010/main" Requires="a14">
        <xdr:graphicFrame macro="">
          <xdr:nvGraphicFramePr>
            <xdr:cNvPr id="33" name="Prescription_Type 2">
              <a:extLst>
                <a:ext uri="{FF2B5EF4-FFF2-40B4-BE49-F238E27FC236}">
                  <a16:creationId xmlns:a16="http://schemas.microsoft.com/office/drawing/2014/main" id="{8E31E7DF-A630-4AA0-A235-C7317A52CCED}"/>
                </a:ext>
              </a:extLst>
            </xdr:cNvPr>
            <xdr:cNvGraphicFramePr/>
          </xdr:nvGraphicFramePr>
          <xdr:xfrm>
            <a:off x="0" y="0"/>
            <a:ext cx="0" cy="0"/>
          </xdr:xfrm>
          <a:graphic>
            <a:graphicData uri="http://schemas.microsoft.com/office/drawing/2010/slicer">
              <sle:slicer xmlns:sle="http://schemas.microsoft.com/office/drawing/2010/slicer" name="Prescription_Type 2"/>
            </a:graphicData>
          </a:graphic>
        </xdr:graphicFrame>
      </mc:Choice>
      <mc:Fallback>
        <xdr:sp macro="" textlink="">
          <xdr:nvSpPr>
            <xdr:cNvPr id="0" name=""/>
            <xdr:cNvSpPr>
              <a:spLocks noTextEdit="1"/>
            </xdr:cNvSpPr>
          </xdr:nvSpPr>
          <xdr:spPr>
            <a:xfrm>
              <a:off x="912019" y="1136045"/>
              <a:ext cx="2174149" cy="9452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136069</xdr:colOff>
      <xdr:row>11</xdr:row>
      <xdr:rowOff>95249</xdr:rowOff>
    </xdr:from>
    <xdr:to>
      <xdr:col>15</xdr:col>
      <xdr:colOff>521750</xdr:colOff>
      <xdr:row>13</xdr:row>
      <xdr:rowOff>27214</xdr:rowOff>
    </xdr:to>
    <xdr:sp macro="" textlink="">
      <xdr:nvSpPr>
        <xdr:cNvPr id="34" name="TextBox 33">
          <a:extLst>
            <a:ext uri="{FF2B5EF4-FFF2-40B4-BE49-F238E27FC236}">
              <a16:creationId xmlns:a16="http://schemas.microsoft.com/office/drawing/2014/main" id="{0D351971-2118-B92C-1CEC-0284D6434F6C}"/>
            </a:ext>
          </a:extLst>
        </xdr:cNvPr>
        <xdr:cNvSpPr txBox="1"/>
      </xdr:nvSpPr>
      <xdr:spPr>
        <a:xfrm>
          <a:off x="6259283" y="2190749"/>
          <a:ext cx="3447288" cy="3129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Aptos" panose="020B0004020202020204" pitchFamily="34" charset="0"/>
            </a:rPr>
            <a:t>Revenue Contribution by Drug Category</a:t>
          </a:r>
        </a:p>
      </xdr:txBody>
    </xdr:sp>
    <xdr:clientData/>
  </xdr:twoCellAnchor>
  <xdr:twoCellAnchor>
    <xdr:from>
      <xdr:col>16</xdr:col>
      <xdr:colOff>13606</xdr:colOff>
      <xdr:row>11</xdr:row>
      <xdr:rowOff>108856</xdr:rowOff>
    </xdr:from>
    <xdr:to>
      <xdr:col>21</xdr:col>
      <xdr:colOff>399287</xdr:colOff>
      <xdr:row>13</xdr:row>
      <xdr:rowOff>38752</xdr:rowOff>
    </xdr:to>
    <xdr:sp macro="" textlink="">
      <xdr:nvSpPr>
        <xdr:cNvPr id="35" name="TextBox 34">
          <a:extLst>
            <a:ext uri="{FF2B5EF4-FFF2-40B4-BE49-F238E27FC236}">
              <a16:creationId xmlns:a16="http://schemas.microsoft.com/office/drawing/2014/main" id="{84A149AC-D7EF-D6CE-485E-DC69ABE4C02E}"/>
            </a:ext>
          </a:extLst>
        </xdr:cNvPr>
        <xdr:cNvSpPr txBox="1"/>
      </xdr:nvSpPr>
      <xdr:spPr>
        <a:xfrm>
          <a:off x="9810749" y="2204356"/>
          <a:ext cx="3447288" cy="3108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Aptos" panose="020B0004020202020204" pitchFamily="34" charset="0"/>
            </a:rPr>
            <a:t>Monthly Sales Trend Analysis</a:t>
          </a:r>
        </a:p>
      </xdr:txBody>
    </xdr:sp>
    <xdr:clientData/>
  </xdr:twoCellAnchor>
  <xdr:twoCellAnchor>
    <xdr:from>
      <xdr:col>10</xdr:col>
      <xdr:colOff>136072</xdr:colOff>
      <xdr:row>24</xdr:row>
      <xdr:rowOff>27214</xdr:rowOff>
    </xdr:from>
    <xdr:to>
      <xdr:col>15</xdr:col>
      <xdr:colOff>521753</xdr:colOff>
      <xdr:row>25</xdr:row>
      <xdr:rowOff>147610</xdr:rowOff>
    </xdr:to>
    <xdr:sp macro="" textlink="">
      <xdr:nvSpPr>
        <xdr:cNvPr id="36" name="TextBox 35">
          <a:extLst>
            <a:ext uri="{FF2B5EF4-FFF2-40B4-BE49-F238E27FC236}">
              <a16:creationId xmlns:a16="http://schemas.microsoft.com/office/drawing/2014/main" id="{C74DC06F-66A2-3605-2480-4D3B390EFE07}"/>
            </a:ext>
          </a:extLst>
        </xdr:cNvPr>
        <xdr:cNvSpPr txBox="1"/>
      </xdr:nvSpPr>
      <xdr:spPr>
        <a:xfrm>
          <a:off x="6259286" y="4599214"/>
          <a:ext cx="3447288" cy="3108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Aptos" panose="020B0004020202020204" pitchFamily="34" charset="0"/>
            </a:rPr>
            <a:t>Payment Method Usage Analysis</a:t>
          </a:r>
        </a:p>
      </xdr:txBody>
    </xdr:sp>
    <xdr:clientData/>
  </xdr:twoCellAnchor>
  <xdr:twoCellAnchor>
    <xdr:from>
      <xdr:col>16</xdr:col>
      <xdr:colOff>0</xdr:colOff>
      <xdr:row>24</xdr:row>
      <xdr:rowOff>27214</xdr:rowOff>
    </xdr:from>
    <xdr:to>
      <xdr:col>21</xdr:col>
      <xdr:colOff>394825</xdr:colOff>
      <xdr:row>25</xdr:row>
      <xdr:rowOff>147610</xdr:rowOff>
    </xdr:to>
    <xdr:sp macro="" textlink="">
      <xdr:nvSpPr>
        <xdr:cNvPr id="37" name="TextBox 36">
          <a:extLst>
            <a:ext uri="{FF2B5EF4-FFF2-40B4-BE49-F238E27FC236}">
              <a16:creationId xmlns:a16="http://schemas.microsoft.com/office/drawing/2014/main" id="{555C4242-2708-3DA1-D83D-FCBB5FAD862C}"/>
            </a:ext>
          </a:extLst>
        </xdr:cNvPr>
        <xdr:cNvSpPr txBox="1"/>
      </xdr:nvSpPr>
      <xdr:spPr>
        <a:xfrm>
          <a:off x="9797143" y="4599214"/>
          <a:ext cx="3456432" cy="3108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Aptos" panose="020B0004020202020204" pitchFamily="34" charset="0"/>
            </a:rPr>
            <a:t>Revenue by Supplier</a:t>
          </a:r>
        </a:p>
      </xdr:txBody>
    </xdr:sp>
    <xdr:clientData/>
  </xdr:twoCellAnchor>
  <xdr:twoCellAnchor>
    <xdr:from>
      <xdr:col>5</xdr:col>
      <xdr:colOff>176893</xdr:colOff>
      <xdr:row>19</xdr:row>
      <xdr:rowOff>54429</xdr:rowOff>
    </xdr:from>
    <xdr:to>
      <xdr:col>10</xdr:col>
      <xdr:colOff>40822</xdr:colOff>
      <xdr:row>21</xdr:row>
      <xdr:rowOff>54429</xdr:rowOff>
    </xdr:to>
    <xdr:sp macro="" textlink="">
      <xdr:nvSpPr>
        <xdr:cNvPr id="38" name="TextBox 37">
          <a:extLst>
            <a:ext uri="{FF2B5EF4-FFF2-40B4-BE49-F238E27FC236}">
              <a16:creationId xmlns:a16="http://schemas.microsoft.com/office/drawing/2014/main" id="{92A5F973-1513-C539-2902-37FE8CEA68AC}"/>
            </a:ext>
          </a:extLst>
        </xdr:cNvPr>
        <xdr:cNvSpPr txBox="1"/>
      </xdr:nvSpPr>
      <xdr:spPr>
        <a:xfrm>
          <a:off x="3238500" y="3673929"/>
          <a:ext cx="2925536"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Aptos" panose="020B0004020202020204" pitchFamily="34" charset="0"/>
            </a:rPr>
            <a:t>Product Demand by Drug</a:t>
          </a:r>
        </a:p>
      </xdr:txBody>
    </xdr:sp>
    <xdr:clientData/>
  </xdr:twoCellAnchor>
  <xdr:twoCellAnchor editAs="oneCell">
    <xdr:from>
      <xdr:col>1</xdr:col>
      <xdr:colOff>367392</xdr:colOff>
      <xdr:row>2</xdr:row>
      <xdr:rowOff>63501</xdr:rowOff>
    </xdr:from>
    <xdr:to>
      <xdr:col>3</xdr:col>
      <xdr:colOff>338667</xdr:colOff>
      <xdr:row>5</xdr:row>
      <xdr:rowOff>31751</xdr:rowOff>
    </xdr:to>
    <xdr:pic>
      <xdr:nvPicPr>
        <xdr:cNvPr id="40" name="Picture 39">
          <a:extLst>
            <a:ext uri="{FF2B5EF4-FFF2-40B4-BE49-F238E27FC236}">
              <a16:creationId xmlns:a16="http://schemas.microsoft.com/office/drawing/2014/main" id="{17EFAABB-CC91-4F9A-1911-E025225BD7A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81225" y="444501"/>
          <a:ext cx="1198942" cy="539750"/>
        </a:xfrm>
        <a:prstGeom prst="rect">
          <a:avLst/>
        </a:prstGeom>
        <a:ln>
          <a:noFill/>
        </a:ln>
      </xdr:spPr>
    </xdr:pic>
    <xdr:clientData/>
  </xdr:twoCellAnchor>
  <xdr:twoCellAnchor>
    <xdr:from>
      <xdr:col>3</xdr:col>
      <xdr:colOff>391583</xdr:colOff>
      <xdr:row>2</xdr:row>
      <xdr:rowOff>31751</xdr:rowOff>
    </xdr:from>
    <xdr:to>
      <xdr:col>21</xdr:col>
      <xdr:colOff>264583</xdr:colOff>
      <xdr:row>5</xdr:row>
      <xdr:rowOff>8891</xdr:rowOff>
    </xdr:to>
    <xdr:sp macro="" textlink="">
      <xdr:nvSpPr>
        <xdr:cNvPr id="41" name="TextBox 40">
          <a:extLst>
            <a:ext uri="{FF2B5EF4-FFF2-40B4-BE49-F238E27FC236}">
              <a16:creationId xmlns:a16="http://schemas.microsoft.com/office/drawing/2014/main" id="{98105347-54AC-853B-0F20-0D68FAD45EB6}"/>
            </a:ext>
          </a:extLst>
        </xdr:cNvPr>
        <xdr:cNvSpPr txBox="1"/>
      </xdr:nvSpPr>
      <xdr:spPr>
        <a:xfrm>
          <a:off x="2233083" y="412751"/>
          <a:ext cx="1092200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p>
          <a:pPr algn="ctr"/>
          <a:r>
            <a:rPr lang="en-US" sz="28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Aptos" panose="020B0004020202020204" pitchFamily="34" charset="0"/>
            </a:rPr>
            <a:t>💊</a:t>
          </a:r>
          <a:r>
            <a:rPr lang="en-US" sz="3600" b="1" cap="none" spc="0">
              <a:ln/>
              <a:solidFill>
                <a:schemeClr val="bg1"/>
              </a:solidFill>
              <a:effectLst/>
              <a:latin typeface="Aptos" panose="020B0004020202020204" pitchFamily="34" charset="0"/>
            </a:rPr>
            <a:t>Pharmacy Operations &amp; Revenue Analysis</a:t>
          </a:r>
          <a:r>
            <a:rPr lang="en-US" sz="28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mn-lt"/>
              <a:ea typeface="+mn-ea"/>
              <a:cs typeface="+mn-cs"/>
            </a:rPr>
            <a:t>💊</a:t>
          </a:r>
          <a:endParaRPr lang="en-US" sz="2800" b="1" cap="none" spc="0">
            <a:ln/>
            <a:solidFill>
              <a:schemeClr val="bg1"/>
            </a:solidFill>
            <a:effectLst/>
            <a:latin typeface="Aptos" panose="020B00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ynthia" refreshedDate="46014.846579398145" createdVersion="8" refreshedVersion="8" minRefreshableVersion="3" recordCount="300" xr:uid="{02AC3FCE-C90F-47B5-AABB-0A5DFD0FB5D0}">
  <cacheSource type="worksheet">
    <worksheetSource name="PharmacyData"/>
  </cacheSource>
  <cacheFields count="13">
    <cacheField name="Transaction_ID" numFmtId="0">
      <sharedItems/>
    </cacheField>
    <cacheField name="Date" numFmtId="0">
      <sharedItems count="12">
        <s v="Nov"/>
        <s v="Apr"/>
        <s v="Mar"/>
        <s v="Aug"/>
        <s v="Oct"/>
        <s v="Jul"/>
        <s v="Feb"/>
        <s v="Sep"/>
        <s v="Dec"/>
        <s v="Jan"/>
        <s v="May"/>
        <s v="Jun"/>
      </sharedItems>
    </cacheField>
    <cacheField name="Date2" numFmtId="0">
      <sharedItems/>
    </cacheField>
    <cacheField name="Drug_Name" numFmtId="0">
      <sharedItems count="9">
        <s v="Metformin"/>
        <s v="Vitamin C"/>
        <s v="Amoxicillin"/>
        <s v="Paracetamol"/>
        <s v="Ibuprofen"/>
        <s v="Cough Syrup"/>
        <s v="Azithromycin"/>
        <s v="Insulin"/>
        <s v="Lisinopril"/>
      </sharedItems>
    </cacheField>
    <cacheField name="Drug_Category" numFmtId="0">
      <sharedItems count="7">
        <s v="Antidiabetic"/>
        <s v="Supplement"/>
        <s v="Antibiotic"/>
        <s v="Analgesic"/>
        <s v="Anti-inflammatory"/>
        <s v="Respiratory"/>
        <s v="Antihypertensive"/>
      </sharedItems>
    </cacheField>
    <cacheField name="Dosage_Form" numFmtId="0">
      <sharedItems/>
    </cacheField>
    <cacheField name="Quantity_Sold" numFmtId="0">
      <sharedItems containsSemiMixedTypes="0" containsString="0" containsNumber="1" containsInteger="1" minValue="1" maxValue="15"/>
    </cacheField>
    <cacheField name="Unit_Price" numFmtId="0">
      <sharedItems containsSemiMixedTypes="0" containsString="0" containsNumber="1" containsInteger="1" minValue="405" maxValue="4989"/>
    </cacheField>
    <cacheField name="Total_Sales" numFmtId="169">
      <sharedItems containsSemiMixedTypes="0" containsString="0" containsNumber="1" containsInteger="1" minValue="810" maxValue="72855"/>
    </cacheField>
    <cacheField name="Supplier" numFmtId="0">
      <sharedItems count="5">
        <s v="Swiss Pharma"/>
        <s v="Fidson"/>
        <s v="May &amp; Baker"/>
        <s v="GSK"/>
        <s v="Emzor"/>
      </sharedItems>
    </cacheField>
    <cacheField name="Payment_Method" numFmtId="0">
      <sharedItems count="3">
        <s v="POS"/>
        <s v="Transfer"/>
        <s v="Cash"/>
      </sharedItems>
    </cacheField>
    <cacheField name="Prescription_Type" numFmtId="0">
      <sharedItems count="2">
        <s v="Prescription"/>
        <s v="OTC"/>
      </sharedItems>
    </cacheField>
    <cacheField name="Customer_Type" numFmtId="0">
      <sharedItems count="3">
        <s v="HMO"/>
        <s v="Hospital Referral"/>
        <s v="Walk-in"/>
      </sharedItems>
    </cacheField>
  </cacheFields>
  <extLst>
    <ext xmlns:x14="http://schemas.microsoft.com/office/spreadsheetml/2009/9/main" uri="{725AE2AE-9491-48be-B2B4-4EB974FC3084}">
      <x14:pivotCacheDefinition pivotCacheId="19970885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TXN0001"/>
    <x v="0"/>
    <s v="2024-11-12"/>
    <x v="0"/>
    <x v="0"/>
    <s v="Capsule"/>
    <n v="13"/>
    <n v="758"/>
    <n v="9854"/>
    <x v="0"/>
    <x v="0"/>
    <x v="0"/>
    <x v="0"/>
  </r>
  <r>
    <s v="TXN0002"/>
    <x v="1"/>
    <s v="2024-04-18"/>
    <x v="1"/>
    <x v="1"/>
    <s v="Injection"/>
    <n v="12"/>
    <n v="4059"/>
    <n v="48708"/>
    <x v="1"/>
    <x v="1"/>
    <x v="1"/>
    <x v="0"/>
  </r>
  <r>
    <s v="TXN0003"/>
    <x v="2"/>
    <s v="2024-03-06"/>
    <x v="2"/>
    <x v="2"/>
    <s v="Syrup"/>
    <n v="1"/>
    <n v="3581"/>
    <n v="3581"/>
    <x v="2"/>
    <x v="1"/>
    <x v="0"/>
    <x v="1"/>
  </r>
  <r>
    <s v="TXN0004"/>
    <x v="3"/>
    <s v="2024-08-13"/>
    <x v="1"/>
    <x v="1"/>
    <s v="Syrup"/>
    <n v="10"/>
    <n v="3547"/>
    <n v="35470"/>
    <x v="0"/>
    <x v="1"/>
    <x v="1"/>
    <x v="0"/>
  </r>
  <r>
    <s v="TXN0005"/>
    <x v="0"/>
    <s v="2024-11-25"/>
    <x v="3"/>
    <x v="3"/>
    <s v="Capsule"/>
    <n v="9"/>
    <n v="3054"/>
    <n v="27486"/>
    <x v="3"/>
    <x v="0"/>
    <x v="1"/>
    <x v="2"/>
  </r>
  <r>
    <s v="TXN0006"/>
    <x v="4"/>
    <s v="2024-10-28"/>
    <x v="4"/>
    <x v="4"/>
    <s v="Syrup"/>
    <n v="12"/>
    <n v="2396"/>
    <n v="28752"/>
    <x v="1"/>
    <x v="0"/>
    <x v="0"/>
    <x v="2"/>
  </r>
  <r>
    <s v="TXN0007"/>
    <x v="4"/>
    <s v="2024-10-12"/>
    <x v="4"/>
    <x v="4"/>
    <s v="Syrup"/>
    <n v="3"/>
    <n v="2609"/>
    <n v="7827"/>
    <x v="2"/>
    <x v="0"/>
    <x v="0"/>
    <x v="2"/>
  </r>
  <r>
    <s v="TXN0008"/>
    <x v="2"/>
    <s v="2024-03-11"/>
    <x v="0"/>
    <x v="0"/>
    <s v="Syrup"/>
    <n v="15"/>
    <n v="2903"/>
    <n v="43545"/>
    <x v="3"/>
    <x v="2"/>
    <x v="0"/>
    <x v="0"/>
  </r>
  <r>
    <s v="TXN0009"/>
    <x v="5"/>
    <s v="2024-07-30"/>
    <x v="4"/>
    <x v="4"/>
    <s v="Syrup"/>
    <n v="15"/>
    <n v="1160"/>
    <n v="17400"/>
    <x v="4"/>
    <x v="0"/>
    <x v="0"/>
    <x v="1"/>
  </r>
  <r>
    <s v="TXN0010"/>
    <x v="4"/>
    <s v="2024-10-10"/>
    <x v="1"/>
    <x v="1"/>
    <s v="Tablet"/>
    <n v="9"/>
    <n v="2610"/>
    <n v="23490"/>
    <x v="0"/>
    <x v="2"/>
    <x v="1"/>
    <x v="0"/>
  </r>
  <r>
    <s v="TXN0011"/>
    <x v="6"/>
    <s v="2024-02-08"/>
    <x v="3"/>
    <x v="3"/>
    <s v="Injection"/>
    <n v="10"/>
    <n v="4058"/>
    <n v="40580"/>
    <x v="3"/>
    <x v="2"/>
    <x v="0"/>
    <x v="0"/>
  </r>
  <r>
    <s v="TXN0012"/>
    <x v="0"/>
    <s v="2024-11-29"/>
    <x v="3"/>
    <x v="3"/>
    <s v="Syrup"/>
    <n v="3"/>
    <n v="1874"/>
    <n v="5622"/>
    <x v="4"/>
    <x v="0"/>
    <x v="1"/>
    <x v="1"/>
  </r>
  <r>
    <s v="TXN0013"/>
    <x v="5"/>
    <s v="2024-07-26"/>
    <x v="5"/>
    <x v="5"/>
    <s v="Syrup"/>
    <n v="8"/>
    <n v="2378"/>
    <n v="19024"/>
    <x v="1"/>
    <x v="0"/>
    <x v="1"/>
    <x v="0"/>
  </r>
  <r>
    <s v="TXN0014"/>
    <x v="7"/>
    <s v="2024-09-24"/>
    <x v="4"/>
    <x v="4"/>
    <s v="Syrup"/>
    <n v="10"/>
    <n v="3307"/>
    <n v="33070"/>
    <x v="3"/>
    <x v="2"/>
    <x v="1"/>
    <x v="2"/>
  </r>
  <r>
    <s v="TXN0015"/>
    <x v="8"/>
    <s v="2024-12-23"/>
    <x v="6"/>
    <x v="2"/>
    <s v="Syrup"/>
    <n v="2"/>
    <n v="510"/>
    <n v="1020"/>
    <x v="0"/>
    <x v="0"/>
    <x v="0"/>
    <x v="2"/>
  </r>
  <r>
    <s v="TXN0016"/>
    <x v="1"/>
    <s v="2024-04-07"/>
    <x v="0"/>
    <x v="0"/>
    <s v="Injection"/>
    <n v="9"/>
    <n v="3474"/>
    <n v="31266"/>
    <x v="4"/>
    <x v="2"/>
    <x v="0"/>
    <x v="1"/>
  </r>
  <r>
    <s v="TXN0017"/>
    <x v="8"/>
    <s v="2024-12-15"/>
    <x v="3"/>
    <x v="3"/>
    <s v="Injection"/>
    <n v="6"/>
    <n v="469"/>
    <n v="2814"/>
    <x v="1"/>
    <x v="1"/>
    <x v="0"/>
    <x v="2"/>
  </r>
  <r>
    <s v="TXN0018"/>
    <x v="7"/>
    <s v="2024-09-27"/>
    <x v="4"/>
    <x v="4"/>
    <s v="Syrup"/>
    <n v="15"/>
    <n v="1371"/>
    <n v="20565"/>
    <x v="4"/>
    <x v="1"/>
    <x v="1"/>
    <x v="2"/>
  </r>
  <r>
    <s v="TXN0019"/>
    <x v="7"/>
    <s v="2024-09-20"/>
    <x v="1"/>
    <x v="1"/>
    <s v="Injection"/>
    <n v="3"/>
    <n v="2171"/>
    <n v="6513"/>
    <x v="1"/>
    <x v="0"/>
    <x v="1"/>
    <x v="0"/>
  </r>
  <r>
    <s v="TXN0020"/>
    <x v="9"/>
    <s v="2024-01-31"/>
    <x v="7"/>
    <x v="0"/>
    <s v="Tablet"/>
    <n v="8"/>
    <n v="4627"/>
    <n v="37016"/>
    <x v="3"/>
    <x v="1"/>
    <x v="0"/>
    <x v="1"/>
  </r>
  <r>
    <s v="TXN0021"/>
    <x v="1"/>
    <s v="2024-04-26"/>
    <x v="6"/>
    <x v="2"/>
    <s v="Syrup"/>
    <n v="4"/>
    <n v="4051"/>
    <n v="16204"/>
    <x v="1"/>
    <x v="0"/>
    <x v="1"/>
    <x v="0"/>
  </r>
  <r>
    <s v="TXN0022"/>
    <x v="10"/>
    <s v="2024-05-19"/>
    <x v="0"/>
    <x v="0"/>
    <s v="Tablet"/>
    <n v="11"/>
    <n v="1154"/>
    <n v="12694"/>
    <x v="0"/>
    <x v="0"/>
    <x v="1"/>
    <x v="1"/>
  </r>
  <r>
    <s v="TXN0023"/>
    <x v="6"/>
    <s v="2024-02-26"/>
    <x v="3"/>
    <x v="3"/>
    <s v="Syrup"/>
    <n v="8"/>
    <n v="454"/>
    <n v="3632"/>
    <x v="2"/>
    <x v="0"/>
    <x v="0"/>
    <x v="1"/>
  </r>
  <r>
    <s v="TXN0024"/>
    <x v="4"/>
    <s v="2024-10-09"/>
    <x v="1"/>
    <x v="1"/>
    <s v="Syrup"/>
    <n v="8"/>
    <n v="3052"/>
    <n v="24416"/>
    <x v="1"/>
    <x v="0"/>
    <x v="0"/>
    <x v="2"/>
  </r>
  <r>
    <s v="TXN0025"/>
    <x v="2"/>
    <s v="2024-03-18"/>
    <x v="7"/>
    <x v="0"/>
    <s v="Tablet"/>
    <n v="4"/>
    <n v="4046"/>
    <n v="16184"/>
    <x v="0"/>
    <x v="2"/>
    <x v="1"/>
    <x v="2"/>
  </r>
  <r>
    <s v="TXN0026"/>
    <x v="1"/>
    <s v="2024-04-03"/>
    <x v="4"/>
    <x v="4"/>
    <s v="Syrup"/>
    <n v="6"/>
    <n v="1412"/>
    <n v="8472"/>
    <x v="3"/>
    <x v="0"/>
    <x v="0"/>
    <x v="1"/>
  </r>
  <r>
    <s v="TXN0027"/>
    <x v="5"/>
    <s v="2024-07-12"/>
    <x v="7"/>
    <x v="0"/>
    <s v="Tablet"/>
    <n v="3"/>
    <n v="4353"/>
    <n v="13059"/>
    <x v="0"/>
    <x v="0"/>
    <x v="1"/>
    <x v="2"/>
  </r>
  <r>
    <s v="TXN0028"/>
    <x v="8"/>
    <s v="2024-12-18"/>
    <x v="3"/>
    <x v="3"/>
    <s v="Injection"/>
    <n v="6"/>
    <n v="2029"/>
    <n v="12174"/>
    <x v="3"/>
    <x v="1"/>
    <x v="1"/>
    <x v="1"/>
  </r>
  <r>
    <s v="TXN0029"/>
    <x v="7"/>
    <s v="2024-09-05"/>
    <x v="0"/>
    <x v="0"/>
    <s v="Syrup"/>
    <n v="11"/>
    <n v="3065"/>
    <n v="33715"/>
    <x v="3"/>
    <x v="0"/>
    <x v="1"/>
    <x v="0"/>
  </r>
  <r>
    <s v="TXN0030"/>
    <x v="5"/>
    <s v="2024-07-29"/>
    <x v="7"/>
    <x v="0"/>
    <s v="Syrup"/>
    <n v="7"/>
    <n v="2647"/>
    <n v="18529"/>
    <x v="3"/>
    <x v="0"/>
    <x v="1"/>
    <x v="2"/>
  </r>
  <r>
    <s v="TXN0031"/>
    <x v="3"/>
    <s v="2024-08-17"/>
    <x v="8"/>
    <x v="6"/>
    <s v="Tablet"/>
    <n v="6"/>
    <n v="1072"/>
    <n v="6432"/>
    <x v="0"/>
    <x v="0"/>
    <x v="1"/>
    <x v="2"/>
  </r>
  <r>
    <s v="TXN0032"/>
    <x v="8"/>
    <s v="2024-12-25"/>
    <x v="0"/>
    <x v="0"/>
    <s v="Tablet"/>
    <n v="2"/>
    <n v="1224"/>
    <n v="2448"/>
    <x v="2"/>
    <x v="2"/>
    <x v="0"/>
    <x v="0"/>
  </r>
  <r>
    <s v="TXN0033"/>
    <x v="4"/>
    <s v="2024-10-31"/>
    <x v="4"/>
    <x v="4"/>
    <s v="Capsule"/>
    <n v="7"/>
    <n v="3867"/>
    <n v="27069"/>
    <x v="4"/>
    <x v="2"/>
    <x v="1"/>
    <x v="1"/>
  </r>
  <r>
    <s v="TXN0034"/>
    <x v="8"/>
    <s v="2024-12-29"/>
    <x v="4"/>
    <x v="4"/>
    <s v="Syrup"/>
    <n v="13"/>
    <n v="1678"/>
    <n v="21814"/>
    <x v="0"/>
    <x v="0"/>
    <x v="0"/>
    <x v="1"/>
  </r>
  <r>
    <s v="TXN0035"/>
    <x v="6"/>
    <s v="2024-02-14"/>
    <x v="1"/>
    <x v="1"/>
    <s v="Injection"/>
    <n v="14"/>
    <n v="1112"/>
    <n v="15568"/>
    <x v="1"/>
    <x v="2"/>
    <x v="1"/>
    <x v="1"/>
  </r>
  <r>
    <s v="TXN0036"/>
    <x v="1"/>
    <s v="2024-04-03"/>
    <x v="5"/>
    <x v="5"/>
    <s v="Syrup"/>
    <n v="10"/>
    <n v="727"/>
    <n v="7270"/>
    <x v="1"/>
    <x v="1"/>
    <x v="0"/>
    <x v="2"/>
  </r>
  <r>
    <s v="TXN0037"/>
    <x v="0"/>
    <s v="2024-11-27"/>
    <x v="2"/>
    <x v="2"/>
    <s v="Injection"/>
    <n v="9"/>
    <n v="3580"/>
    <n v="32220"/>
    <x v="2"/>
    <x v="0"/>
    <x v="1"/>
    <x v="1"/>
  </r>
  <r>
    <s v="TXN0038"/>
    <x v="3"/>
    <s v="2024-08-07"/>
    <x v="6"/>
    <x v="2"/>
    <s v="Tablet"/>
    <n v="11"/>
    <n v="1996"/>
    <n v="21956"/>
    <x v="1"/>
    <x v="0"/>
    <x v="0"/>
    <x v="1"/>
  </r>
  <r>
    <s v="TXN0039"/>
    <x v="0"/>
    <s v="2024-11-09"/>
    <x v="5"/>
    <x v="5"/>
    <s v="Syrup"/>
    <n v="12"/>
    <n v="4045"/>
    <n v="48540"/>
    <x v="1"/>
    <x v="1"/>
    <x v="0"/>
    <x v="1"/>
  </r>
  <r>
    <s v="TXN0040"/>
    <x v="5"/>
    <s v="2024-07-20"/>
    <x v="0"/>
    <x v="0"/>
    <s v="Injection"/>
    <n v="8"/>
    <n v="2154"/>
    <n v="17232"/>
    <x v="3"/>
    <x v="2"/>
    <x v="1"/>
    <x v="0"/>
  </r>
  <r>
    <s v="TXN0041"/>
    <x v="9"/>
    <s v="2024-01-13"/>
    <x v="3"/>
    <x v="3"/>
    <s v="Syrup"/>
    <n v="2"/>
    <n v="3770"/>
    <n v="7540"/>
    <x v="4"/>
    <x v="1"/>
    <x v="1"/>
    <x v="0"/>
  </r>
  <r>
    <s v="TXN0042"/>
    <x v="6"/>
    <s v="2024-02-02"/>
    <x v="7"/>
    <x v="0"/>
    <s v="Tablet"/>
    <n v="15"/>
    <n v="2081"/>
    <n v="31215"/>
    <x v="3"/>
    <x v="1"/>
    <x v="1"/>
    <x v="2"/>
  </r>
  <r>
    <s v="TXN0043"/>
    <x v="0"/>
    <s v="2024-11-02"/>
    <x v="3"/>
    <x v="3"/>
    <s v="Syrup"/>
    <n v="7"/>
    <n v="1694"/>
    <n v="11858"/>
    <x v="1"/>
    <x v="1"/>
    <x v="0"/>
    <x v="1"/>
  </r>
  <r>
    <s v="TXN0044"/>
    <x v="3"/>
    <s v="2024-08-31"/>
    <x v="8"/>
    <x v="6"/>
    <s v="Injection"/>
    <n v="12"/>
    <n v="786"/>
    <n v="9432"/>
    <x v="4"/>
    <x v="1"/>
    <x v="0"/>
    <x v="2"/>
  </r>
  <r>
    <s v="TXN0045"/>
    <x v="0"/>
    <s v="2024-11-04"/>
    <x v="7"/>
    <x v="0"/>
    <s v="Tablet"/>
    <n v="15"/>
    <n v="2085"/>
    <n v="31275"/>
    <x v="3"/>
    <x v="0"/>
    <x v="0"/>
    <x v="2"/>
  </r>
  <r>
    <s v="TXN0046"/>
    <x v="3"/>
    <s v="2024-08-19"/>
    <x v="1"/>
    <x v="1"/>
    <s v="Tablet"/>
    <n v="4"/>
    <n v="581"/>
    <n v="2324"/>
    <x v="1"/>
    <x v="2"/>
    <x v="1"/>
    <x v="2"/>
  </r>
  <r>
    <s v="TXN0047"/>
    <x v="2"/>
    <s v="2024-03-02"/>
    <x v="2"/>
    <x v="2"/>
    <s v="Syrup"/>
    <n v="10"/>
    <n v="1670"/>
    <n v="16700"/>
    <x v="1"/>
    <x v="1"/>
    <x v="1"/>
    <x v="2"/>
  </r>
  <r>
    <s v="TXN0048"/>
    <x v="9"/>
    <s v="2024-01-07"/>
    <x v="1"/>
    <x v="1"/>
    <s v="Capsule"/>
    <n v="13"/>
    <n v="3513"/>
    <n v="45669"/>
    <x v="1"/>
    <x v="0"/>
    <x v="0"/>
    <x v="0"/>
  </r>
  <r>
    <s v="TXN0049"/>
    <x v="10"/>
    <s v="2024-05-19"/>
    <x v="6"/>
    <x v="2"/>
    <s v="Syrup"/>
    <n v="1"/>
    <n v="1179"/>
    <n v="1179"/>
    <x v="0"/>
    <x v="2"/>
    <x v="1"/>
    <x v="1"/>
  </r>
  <r>
    <s v="TXN0050"/>
    <x v="8"/>
    <s v="2024-12-28"/>
    <x v="1"/>
    <x v="1"/>
    <s v="Syrup"/>
    <n v="8"/>
    <n v="4361"/>
    <n v="34888"/>
    <x v="4"/>
    <x v="0"/>
    <x v="1"/>
    <x v="1"/>
  </r>
  <r>
    <s v="TXN0051"/>
    <x v="0"/>
    <s v="2024-11-30"/>
    <x v="8"/>
    <x v="6"/>
    <s v="Syrup"/>
    <n v="3"/>
    <n v="2090"/>
    <n v="6270"/>
    <x v="2"/>
    <x v="1"/>
    <x v="1"/>
    <x v="1"/>
  </r>
  <r>
    <s v="TXN0052"/>
    <x v="9"/>
    <s v="2024-01-02"/>
    <x v="8"/>
    <x v="6"/>
    <s v="Tablet"/>
    <n v="12"/>
    <n v="4322"/>
    <n v="51864"/>
    <x v="4"/>
    <x v="0"/>
    <x v="1"/>
    <x v="1"/>
  </r>
  <r>
    <s v="TXN0053"/>
    <x v="7"/>
    <s v="2024-09-04"/>
    <x v="0"/>
    <x v="0"/>
    <s v="Injection"/>
    <n v="9"/>
    <n v="1731"/>
    <n v="15579"/>
    <x v="2"/>
    <x v="1"/>
    <x v="0"/>
    <x v="1"/>
  </r>
  <r>
    <s v="TXN0054"/>
    <x v="11"/>
    <s v="2024-06-12"/>
    <x v="0"/>
    <x v="0"/>
    <s v="Tablet"/>
    <n v="2"/>
    <n v="4126"/>
    <n v="8252"/>
    <x v="3"/>
    <x v="2"/>
    <x v="1"/>
    <x v="1"/>
  </r>
  <r>
    <s v="TXN0055"/>
    <x v="11"/>
    <s v="2024-06-29"/>
    <x v="5"/>
    <x v="5"/>
    <s v="Syrup"/>
    <n v="2"/>
    <n v="4869"/>
    <n v="9738"/>
    <x v="3"/>
    <x v="1"/>
    <x v="0"/>
    <x v="1"/>
  </r>
  <r>
    <s v="TXN0056"/>
    <x v="9"/>
    <s v="2024-01-04"/>
    <x v="3"/>
    <x v="3"/>
    <s v="Syrup"/>
    <n v="10"/>
    <n v="3371"/>
    <n v="33710"/>
    <x v="2"/>
    <x v="2"/>
    <x v="0"/>
    <x v="0"/>
  </r>
  <r>
    <s v="TXN0057"/>
    <x v="2"/>
    <s v="2024-03-24"/>
    <x v="0"/>
    <x v="0"/>
    <s v="Injection"/>
    <n v="13"/>
    <n v="3838"/>
    <n v="49894"/>
    <x v="2"/>
    <x v="1"/>
    <x v="1"/>
    <x v="0"/>
  </r>
  <r>
    <s v="TXN0058"/>
    <x v="1"/>
    <s v="2024-04-10"/>
    <x v="7"/>
    <x v="0"/>
    <s v="Capsule"/>
    <n v="12"/>
    <n v="4084"/>
    <n v="49008"/>
    <x v="1"/>
    <x v="2"/>
    <x v="1"/>
    <x v="2"/>
  </r>
  <r>
    <s v="TXN0059"/>
    <x v="7"/>
    <s v="2024-09-22"/>
    <x v="0"/>
    <x v="0"/>
    <s v="Capsule"/>
    <n v="4"/>
    <n v="1464"/>
    <n v="5856"/>
    <x v="4"/>
    <x v="0"/>
    <x v="0"/>
    <x v="2"/>
  </r>
  <r>
    <s v="TXN0060"/>
    <x v="2"/>
    <s v="2024-03-30"/>
    <x v="8"/>
    <x v="6"/>
    <s v="Injection"/>
    <n v="10"/>
    <n v="4287"/>
    <n v="42870"/>
    <x v="3"/>
    <x v="2"/>
    <x v="1"/>
    <x v="0"/>
  </r>
  <r>
    <s v="TXN0061"/>
    <x v="4"/>
    <s v="2024-10-19"/>
    <x v="1"/>
    <x v="1"/>
    <s v="Injection"/>
    <n v="8"/>
    <n v="1943"/>
    <n v="15544"/>
    <x v="4"/>
    <x v="2"/>
    <x v="1"/>
    <x v="0"/>
  </r>
  <r>
    <s v="TXN0062"/>
    <x v="0"/>
    <s v="2024-11-29"/>
    <x v="0"/>
    <x v="0"/>
    <s v="Capsule"/>
    <n v="2"/>
    <n v="405"/>
    <n v="810"/>
    <x v="4"/>
    <x v="1"/>
    <x v="0"/>
    <x v="0"/>
  </r>
  <r>
    <s v="TXN0063"/>
    <x v="5"/>
    <s v="2024-07-04"/>
    <x v="2"/>
    <x v="2"/>
    <s v="Syrup"/>
    <n v="14"/>
    <n v="1050"/>
    <n v="14700"/>
    <x v="1"/>
    <x v="1"/>
    <x v="0"/>
    <x v="0"/>
  </r>
  <r>
    <s v="TXN0064"/>
    <x v="2"/>
    <s v="2024-03-17"/>
    <x v="2"/>
    <x v="2"/>
    <s v="Syrup"/>
    <n v="15"/>
    <n v="2748"/>
    <n v="41220"/>
    <x v="3"/>
    <x v="0"/>
    <x v="1"/>
    <x v="0"/>
  </r>
  <r>
    <s v="TXN0065"/>
    <x v="3"/>
    <s v="2024-08-29"/>
    <x v="2"/>
    <x v="2"/>
    <s v="Capsule"/>
    <n v="8"/>
    <n v="3804"/>
    <n v="30432"/>
    <x v="4"/>
    <x v="2"/>
    <x v="0"/>
    <x v="0"/>
  </r>
  <r>
    <s v="TXN0066"/>
    <x v="8"/>
    <s v="2024-12-04"/>
    <x v="4"/>
    <x v="4"/>
    <s v="Tablet"/>
    <n v="5"/>
    <n v="3537"/>
    <n v="17685"/>
    <x v="2"/>
    <x v="1"/>
    <x v="0"/>
    <x v="1"/>
  </r>
  <r>
    <s v="TXN0067"/>
    <x v="2"/>
    <s v="2024-03-07"/>
    <x v="0"/>
    <x v="0"/>
    <s v="Injection"/>
    <n v="13"/>
    <n v="568"/>
    <n v="7384"/>
    <x v="3"/>
    <x v="0"/>
    <x v="0"/>
    <x v="2"/>
  </r>
  <r>
    <s v="TXN0068"/>
    <x v="6"/>
    <s v="2024-02-29"/>
    <x v="6"/>
    <x v="2"/>
    <s v="Tablet"/>
    <n v="10"/>
    <n v="782"/>
    <n v="7820"/>
    <x v="2"/>
    <x v="0"/>
    <x v="1"/>
    <x v="1"/>
  </r>
  <r>
    <s v="TXN0069"/>
    <x v="3"/>
    <s v="2024-08-08"/>
    <x v="5"/>
    <x v="5"/>
    <s v="Injection"/>
    <n v="1"/>
    <n v="3220"/>
    <n v="3220"/>
    <x v="2"/>
    <x v="1"/>
    <x v="0"/>
    <x v="1"/>
  </r>
  <r>
    <s v="TXN0070"/>
    <x v="11"/>
    <s v="2024-06-06"/>
    <x v="6"/>
    <x v="2"/>
    <s v="Capsule"/>
    <n v="13"/>
    <n v="4671"/>
    <n v="60723"/>
    <x v="3"/>
    <x v="2"/>
    <x v="1"/>
    <x v="2"/>
  </r>
  <r>
    <s v="TXN0071"/>
    <x v="11"/>
    <s v="2024-06-23"/>
    <x v="2"/>
    <x v="2"/>
    <s v="Tablet"/>
    <n v="13"/>
    <n v="3423"/>
    <n v="44499"/>
    <x v="1"/>
    <x v="2"/>
    <x v="0"/>
    <x v="2"/>
  </r>
  <r>
    <s v="TXN0072"/>
    <x v="3"/>
    <s v="2024-08-22"/>
    <x v="6"/>
    <x v="2"/>
    <s v="Injection"/>
    <n v="14"/>
    <n v="1074"/>
    <n v="15036"/>
    <x v="3"/>
    <x v="0"/>
    <x v="1"/>
    <x v="0"/>
  </r>
  <r>
    <s v="TXN0073"/>
    <x v="2"/>
    <s v="2024-03-19"/>
    <x v="8"/>
    <x v="6"/>
    <s v="Tablet"/>
    <n v="8"/>
    <n v="481"/>
    <n v="3848"/>
    <x v="0"/>
    <x v="1"/>
    <x v="0"/>
    <x v="1"/>
  </r>
  <r>
    <s v="TXN0074"/>
    <x v="0"/>
    <s v="2024-11-05"/>
    <x v="7"/>
    <x v="0"/>
    <s v="Tablet"/>
    <n v="5"/>
    <n v="2908"/>
    <n v="14540"/>
    <x v="0"/>
    <x v="0"/>
    <x v="1"/>
    <x v="2"/>
  </r>
  <r>
    <s v="TXN0075"/>
    <x v="9"/>
    <s v="2024-01-07"/>
    <x v="3"/>
    <x v="3"/>
    <s v="Tablet"/>
    <n v="9"/>
    <n v="2607"/>
    <n v="23463"/>
    <x v="4"/>
    <x v="0"/>
    <x v="0"/>
    <x v="2"/>
  </r>
  <r>
    <s v="TXN0076"/>
    <x v="7"/>
    <s v="2024-09-27"/>
    <x v="3"/>
    <x v="3"/>
    <s v="Tablet"/>
    <n v="7"/>
    <n v="4708"/>
    <n v="32956"/>
    <x v="0"/>
    <x v="0"/>
    <x v="1"/>
    <x v="0"/>
  </r>
  <r>
    <s v="TXN0077"/>
    <x v="5"/>
    <s v="2024-07-10"/>
    <x v="7"/>
    <x v="0"/>
    <s v="Tablet"/>
    <n v="7"/>
    <n v="418"/>
    <n v="2926"/>
    <x v="4"/>
    <x v="0"/>
    <x v="0"/>
    <x v="1"/>
  </r>
  <r>
    <s v="TXN0078"/>
    <x v="3"/>
    <s v="2024-08-15"/>
    <x v="4"/>
    <x v="4"/>
    <s v="Injection"/>
    <n v="8"/>
    <n v="4092"/>
    <n v="32736"/>
    <x v="1"/>
    <x v="1"/>
    <x v="1"/>
    <x v="1"/>
  </r>
  <r>
    <s v="TXN0079"/>
    <x v="7"/>
    <s v="2024-09-29"/>
    <x v="6"/>
    <x v="2"/>
    <s v="Syrup"/>
    <n v="2"/>
    <n v="1482"/>
    <n v="2964"/>
    <x v="2"/>
    <x v="2"/>
    <x v="0"/>
    <x v="1"/>
  </r>
  <r>
    <s v="TXN0080"/>
    <x v="8"/>
    <s v="2024-12-16"/>
    <x v="6"/>
    <x v="2"/>
    <s v="Injection"/>
    <n v="7"/>
    <n v="981"/>
    <n v="6867"/>
    <x v="0"/>
    <x v="1"/>
    <x v="1"/>
    <x v="1"/>
  </r>
  <r>
    <s v="TXN0081"/>
    <x v="3"/>
    <s v="2024-08-25"/>
    <x v="1"/>
    <x v="1"/>
    <s v="Tablet"/>
    <n v="5"/>
    <n v="4920"/>
    <n v="24600"/>
    <x v="1"/>
    <x v="1"/>
    <x v="1"/>
    <x v="2"/>
  </r>
  <r>
    <s v="TXN0082"/>
    <x v="0"/>
    <s v="2024-11-19"/>
    <x v="7"/>
    <x v="0"/>
    <s v="Capsule"/>
    <n v="12"/>
    <n v="424"/>
    <n v="5088"/>
    <x v="0"/>
    <x v="2"/>
    <x v="1"/>
    <x v="0"/>
  </r>
  <r>
    <s v="TXN0083"/>
    <x v="10"/>
    <s v="2024-05-04"/>
    <x v="0"/>
    <x v="0"/>
    <s v="Capsule"/>
    <n v="3"/>
    <n v="1579"/>
    <n v="4737"/>
    <x v="1"/>
    <x v="2"/>
    <x v="1"/>
    <x v="2"/>
  </r>
  <r>
    <s v="TXN0084"/>
    <x v="4"/>
    <s v="2024-10-24"/>
    <x v="4"/>
    <x v="4"/>
    <s v="Syrup"/>
    <n v="6"/>
    <n v="1081"/>
    <n v="6486"/>
    <x v="0"/>
    <x v="1"/>
    <x v="1"/>
    <x v="2"/>
  </r>
  <r>
    <s v="TXN0085"/>
    <x v="1"/>
    <s v="2024-04-15"/>
    <x v="4"/>
    <x v="4"/>
    <s v="Capsule"/>
    <n v="7"/>
    <n v="630"/>
    <n v="4410"/>
    <x v="0"/>
    <x v="1"/>
    <x v="1"/>
    <x v="0"/>
  </r>
  <r>
    <s v="TXN0086"/>
    <x v="3"/>
    <s v="2024-08-26"/>
    <x v="0"/>
    <x v="0"/>
    <s v="Injection"/>
    <n v="14"/>
    <n v="880"/>
    <n v="12320"/>
    <x v="0"/>
    <x v="2"/>
    <x v="1"/>
    <x v="2"/>
  </r>
  <r>
    <s v="TXN0087"/>
    <x v="8"/>
    <s v="2024-12-15"/>
    <x v="1"/>
    <x v="1"/>
    <s v="Capsule"/>
    <n v="11"/>
    <n v="4097"/>
    <n v="45067"/>
    <x v="2"/>
    <x v="2"/>
    <x v="1"/>
    <x v="0"/>
  </r>
  <r>
    <s v="TXN0088"/>
    <x v="8"/>
    <s v="2024-12-05"/>
    <x v="5"/>
    <x v="5"/>
    <s v="Capsule"/>
    <n v="15"/>
    <n v="1402"/>
    <n v="21030"/>
    <x v="1"/>
    <x v="0"/>
    <x v="1"/>
    <x v="2"/>
  </r>
  <r>
    <s v="TXN0089"/>
    <x v="3"/>
    <s v="2024-08-18"/>
    <x v="6"/>
    <x v="2"/>
    <s v="Syrup"/>
    <n v="2"/>
    <n v="484"/>
    <n v="968"/>
    <x v="1"/>
    <x v="1"/>
    <x v="0"/>
    <x v="1"/>
  </r>
  <r>
    <s v="TXN0090"/>
    <x v="10"/>
    <s v="2024-05-29"/>
    <x v="2"/>
    <x v="2"/>
    <s v="Injection"/>
    <n v="1"/>
    <n v="4212"/>
    <n v="4212"/>
    <x v="2"/>
    <x v="2"/>
    <x v="1"/>
    <x v="1"/>
  </r>
  <r>
    <s v="TXN0091"/>
    <x v="6"/>
    <s v="2024-02-14"/>
    <x v="2"/>
    <x v="2"/>
    <s v="Capsule"/>
    <n v="5"/>
    <n v="2579"/>
    <n v="12895"/>
    <x v="1"/>
    <x v="2"/>
    <x v="0"/>
    <x v="2"/>
  </r>
  <r>
    <s v="TXN0092"/>
    <x v="1"/>
    <s v="2024-04-02"/>
    <x v="8"/>
    <x v="6"/>
    <s v="Injection"/>
    <n v="1"/>
    <n v="1672"/>
    <n v="1672"/>
    <x v="4"/>
    <x v="2"/>
    <x v="1"/>
    <x v="0"/>
  </r>
  <r>
    <s v="TXN0093"/>
    <x v="3"/>
    <s v="2024-08-09"/>
    <x v="8"/>
    <x v="6"/>
    <s v="Capsule"/>
    <n v="2"/>
    <n v="2088"/>
    <n v="4176"/>
    <x v="4"/>
    <x v="1"/>
    <x v="0"/>
    <x v="0"/>
  </r>
  <r>
    <s v="TXN0094"/>
    <x v="8"/>
    <s v="2024-12-09"/>
    <x v="2"/>
    <x v="2"/>
    <s v="Tablet"/>
    <n v="1"/>
    <n v="1449"/>
    <n v="1449"/>
    <x v="3"/>
    <x v="0"/>
    <x v="1"/>
    <x v="2"/>
  </r>
  <r>
    <s v="TXN0095"/>
    <x v="9"/>
    <s v="2024-01-31"/>
    <x v="8"/>
    <x v="6"/>
    <s v="Injection"/>
    <n v="14"/>
    <n v="1712"/>
    <n v="23968"/>
    <x v="1"/>
    <x v="1"/>
    <x v="0"/>
    <x v="0"/>
  </r>
  <r>
    <s v="TXN0096"/>
    <x v="4"/>
    <s v="2024-10-16"/>
    <x v="1"/>
    <x v="1"/>
    <s v="Syrup"/>
    <n v="9"/>
    <n v="4573"/>
    <n v="41157"/>
    <x v="2"/>
    <x v="1"/>
    <x v="1"/>
    <x v="1"/>
  </r>
  <r>
    <s v="TXN0097"/>
    <x v="11"/>
    <s v="2024-06-21"/>
    <x v="5"/>
    <x v="5"/>
    <s v="Capsule"/>
    <n v="8"/>
    <n v="1239"/>
    <n v="9912"/>
    <x v="2"/>
    <x v="2"/>
    <x v="0"/>
    <x v="2"/>
  </r>
  <r>
    <s v="TXN0098"/>
    <x v="8"/>
    <s v="2024-12-18"/>
    <x v="7"/>
    <x v="0"/>
    <s v="Capsule"/>
    <n v="7"/>
    <n v="4282"/>
    <n v="29974"/>
    <x v="4"/>
    <x v="0"/>
    <x v="0"/>
    <x v="2"/>
  </r>
  <r>
    <s v="TXN0099"/>
    <x v="1"/>
    <s v="2024-04-21"/>
    <x v="8"/>
    <x v="6"/>
    <s v="Capsule"/>
    <n v="3"/>
    <n v="3703"/>
    <n v="11109"/>
    <x v="0"/>
    <x v="0"/>
    <x v="0"/>
    <x v="2"/>
  </r>
  <r>
    <s v="TXN0100"/>
    <x v="5"/>
    <s v="2024-07-25"/>
    <x v="6"/>
    <x v="2"/>
    <s v="Tablet"/>
    <n v="1"/>
    <n v="4537"/>
    <n v="4537"/>
    <x v="3"/>
    <x v="0"/>
    <x v="0"/>
    <x v="0"/>
  </r>
  <r>
    <s v="TXN0101"/>
    <x v="1"/>
    <s v="2024-04-07"/>
    <x v="5"/>
    <x v="5"/>
    <s v="Capsule"/>
    <n v="10"/>
    <n v="4212"/>
    <n v="42120"/>
    <x v="4"/>
    <x v="0"/>
    <x v="1"/>
    <x v="1"/>
  </r>
  <r>
    <s v="TXN0102"/>
    <x v="8"/>
    <s v="2024-12-15"/>
    <x v="1"/>
    <x v="1"/>
    <s v="Capsule"/>
    <n v="12"/>
    <n v="1015"/>
    <n v="12180"/>
    <x v="0"/>
    <x v="1"/>
    <x v="0"/>
    <x v="2"/>
  </r>
  <r>
    <s v="TXN0103"/>
    <x v="9"/>
    <s v="2024-01-21"/>
    <x v="6"/>
    <x v="2"/>
    <s v="Tablet"/>
    <n v="7"/>
    <n v="3442"/>
    <n v="24094"/>
    <x v="3"/>
    <x v="0"/>
    <x v="0"/>
    <x v="1"/>
  </r>
  <r>
    <s v="TXN0104"/>
    <x v="2"/>
    <s v="2024-03-02"/>
    <x v="3"/>
    <x v="3"/>
    <s v="Syrup"/>
    <n v="9"/>
    <n v="1274"/>
    <n v="11466"/>
    <x v="1"/>
    <x v="2"/>
    <x v="1"/>
    <x v="1"/>
  </r>
  <r>
    <s v="TXN0105"/>
    <x v="3"/>
    <s v="2024-08-04"/>
    <x v="8"/>
    <x v="6"/>
    <s v="Injection"/>
    <n v="12"/>
    <n v="906"/>
    <n v="10872"/>
    <x v="4"/>
    <x v="2"/>
    <x v="0"/>
    <x v="2"/>
  </r>
  <r>
    <s v="TXN0106"/>
    <x v="5"/>
    <s v="2024-07-03"/>
    <x v="7"/>
    <x v="0"/>
    <s v="Capsule"/>
    <n v="6"/>
    <n v="2088"/>
    <n v="12528"/>
    <x v="2"/>
    <x v="0"/>
    <x v="0"/>
    <x v="2"/>
  </r>
  <r>
    <s v="TXN0107"/>
    <x v="9"/>
    <s v="2024-01-01"/>
    <x v="1"/>
    <x v="1"/>
    <s v="Injection"/>
    <n v="13"/>
    <n v="585"/>
    <n v="7605"/>
    <x v="1"/>
    <x v="2"/>
    <x v="1"/>
    <x v="0"/>
  </r>
  <r>
    <s v="TXN0108"/>
    <x v="0"/>
    <s v="2024-11-13"/>
    <x v="5"/>
    <x v="5"/>
    <s v="Capsule"/>
    <n v="7"/>
    <n v="3266"/>
    <n v="22862"/>
    <x v="0"/>
    <x v="0"/>
    <x v="1"/>
    <x v="2"/>
  </r>
  <r>
    <s v="TXN0109"/>
    <x v="11"/>
    <s v="2024-06-12"/>
    <x v="3"/>
    <x v="3"/>
    <s v="Capsule"/>
    <n v="4"/>
    <n v="2771"/>
    <n v="11084"/>
    <x v="2"/>
    <x v="0"/>
    <x v="1"/>
    <x v="0"/>
  </r>
  <r>
    <s v="TXN0110"/>
    <x v="7"/>
    <s v="2024-09-02"/>
    <x v="7"/>
    <x v="0"/>
    <s v="Syrup"/>
    <n v="7"/>
    <n v="2483"/>
    <n v="17381"/>
    <x v="0"/>
    <x v="0"/>
    <x v="1"/>
    <x v="1"/>
  </r>
  <r>
    <s v="TXN0111"/>
    <x v="5"/>
    <s v="2024-07-05"/>
    <x v="6"/>
    <x v="2"/>
    <s v="Tablet"/>
    <n v="4"/>
    <n v="4657"/>
    <n v="18628"/>
    <x v="4"/>
    <x v="1"/>
    <x v="0"/>
    <x v="0"/>
  </r>
  <r>
    <s v="TXN0112"/>
    <x v="2"/>
    <s v="2024-03-07"/>
    <x v="8"/>
    <x v="6"/>
    <s v="Injection"/>
    <n v="1"/>
    <n v="1965"/>
    <n v="1965"/>
    <x v="0"/>
    <x v="2"/>
    <x v="0"/>
    <x v="0"/>
  </r>
  <r>
    <s v="TXN0113"/>
    <x v="4"/>
    <s v="2024-10-30"/>
    <x v="2"/>
    <x v="2"/>
    <s v="Syrup"/>
    <n v="10"/>
    <n v="3413"/>
    <n v="34130"/>
    <x v="4"/>
    <x v="1"/>
    <x v="0"/>
    <x v="1"/>
  </r>
  <r>
    <s v="TXN0114"/>
    <x v="3"/>
    <s v="2024-08-18"/>
    <x v="8"/>
    <x v="6"/>
    <s v="Capsule"/>
    <n v="12"/>
    <n v="3435"/>
    <n v="41220"/>
    <x v="1"/>
    <x v="2"/>
    <x v="0"/>
    <x v="1"/>
  </r>
  <r>
    <s v="TXN0115"/>
    <x v="10"/>
    <s v="2024-05-14"/>
    <x v="2"/>
    <x v="2"/>
    <s v="Tablet"/>
    <n v="5"/>
    <n v="2209"/>
    <n v="11045"/>
    <x v="1"/>
    <x v="1"/>
    <x v="0"/>
    <x v="1"/>
  </r>
  <r>
    <s v="TXN0116"/>
    <x v="9"/>
    <s v="2024-01-25"/>
    <x v="5"/>
    <x v="5"/>
    <s v="Syrup"/>
    <n v="12"/>
    <n v="4067"/>
    <n v="48804"/>
    <x v="0"/>
    <x v="2"/>
    <x v="0"/>
    <x v="1"/>
  </r>
  <r>
    <s v="TXN0117"/>
    <x v="4"/>
    <s v="2024-10-24"/>
    <x v="8"/>
    <x v="6"/>
    <s v="Injection"/>
    <n v="4"/>
    <n v="1274"/>
    <n v="5096"/>
    <x v="3"/>
    <x v="2"/>
    <x v="0"/>
    <x v="2"/>
  </r>
  <r>
    <s v="TXN0118"/>
    <x v="0"/>
    <s v="2024-11-24"/>
    <x v="3"/>
    <x v="3"/>
    <s v="Injection"/>
    <n v="1"/>
    <n v="2396"/>
    <n v="2396"/>
    <x v="4"/>
    <x v="0"/>
    <x v="1"/>
    <x v="0"/>
  </r>
  <r>
    <s v="TXN0119"/>
    <x v="9"/>
    <s v="2024-01-25"/>
    <x v="3"/>
    <x v="3"/>
    <s v="Tablet"/>
    <n v="15"/>
    <n v="2653"/>
    <n v="39795"/>
    <x v="2"/>
    <x v="2"/>
    <x v="1"/>
    <x v="0"/>
  </r>
  <r>
    <s v="TXN0120"/>
    <x v="3"/>
    <s v="2024-08-24"/>
    <x v="0"/>
    <x v="0"/>
    <s v="Syrup"/>
    <n v="14"/>
    <n v="1255"/>
    <n v="17570"/>
    <x v="0"/>
    <x v="0"/>
    <x v="0"/>
    <x v="0"/>
  </r>
  <r>
    <s v="TXN0121"/>
    <x v="10"/>
    <s v="2024-05-20"/>
    <x v="3"/>
    <x v="3"/>
    <s v="Syrup"/>
    <n v="3"/>
    <n v="4360"/>
    <n v="13080"/>
    <x v="2"/>
    <x v="1"/>
    <x v="0"/>
    <x v="1"/>
  </r>
  <r>
    <s v="TXN0122"/>
    <x v="6"/>
    <s v="2024-02-26"/>
    <x v="6"/>
    <x v="2"/>
    <s v="Syrup"/>
    <n v="14"/>
    <n v="3978"/>
    <n v="55692"/>
    <x v="3"/>
    <x v="0"/>
    <x v="0"/>
    <x v="1"/>
  </r>
  <r>
    <s v="TXN0123"/>
    <x v="10"/>
    <s v="2024-05-06"/>
    <x v="8"/>
    <x v="6"/>
    <s v="Injection"/>
    <n v="14"/>
    <n v="717"/>
    <n v="10038"/>
    <x v="0"/>
    <x v="0"/>
    <x v="1"/>
    <x v="2"/>
  </r>
  <r>
    <s v="TXN0124"/>
    <x v="5"/>
    <s v="2024-07-31"/>
    <x v="7"/>
    <x v="0"/>
    <s v="Syrup"/>
    <n v="12"/>
    <n v="942"/>
    <n v="11304"/>
    <x v="0"/>
    <x v="0"/>
    <x v="1"/>
    <x v="2"/>
  </r>
  <r>
    <s v="TXN0125"/>
    <x v="8"/>
    <s v="2024-12-07"/>
    <x v="4"/>
    <x v="4"/>
    <s v="Tablet"/>
    <n v="6"/>
    <n v="755"/>
    <n v="4530"/>
    <x v="4"/>
    <x v="2"/>
    <x v="1"/>
    <x v="2"/>
  </r>
  <r>
    <s v="TXN0126"/>
    <x v="7"/>
    <s v="2024-09-03"/>
    <x v="0"/>
    <x v="0"/>
    <s v="Tablet"/>
    <n v="11"/>
    <n v="1444"/>
    <n v="15884"/>
    <x v="0"/>
    <x v="0"/>
    <x v="1"/>
    <x v="2"/>
  </r>
  <r>
    <s v="TXN0127"/>
    <x v="1"/>
    <s v="2024-04-02"/>
    <x v="2"/>
    <x v="2"/>
    <s v="Injection"/>
    <n v="8"/>
    <n v="1170"/>
    <n v="9360"/>
    <x v="3"/>
    <x v="2"/>
    <x v="0"/>
    <x v="0"/>
  </r>
  <r>
    <s v="TXN0128"/>
    <x v="7"/>
    <s v="2024-09-29"/>
    <x v="0"/>
    <x v="0"/>
    <s v="Tablet"/>
    <n v="11"/>
    <n v="980"/>
    <n v="10780"/>
    <x v="0"/>
    <x v="1"/>
    <x v="1"/>
    <x v="0"/>
  </r>
  <r>
    <s v="TXN0129"/>
    <x v="0"/>
    <s v="2024-11-18"/>
    <x v="0"/>
    <x v="0"/>
    <s v="Capsule"/>
    <n v="8"/>
    <n v="2795"/>
    <n v="22360"/>
    <x v="0"/>
    <x v="1"/>
    <x v="1"/>
    <x v="1"/>
  </r>
  <r>
    <s v="TXN0130"/>
    <x v="8"/>
    <s v="2024-12-31"/>
    <x v="7"/>
    <x v="0"/>
    <s v="Tablet"/>
    <n v="6"/>
    <n v="1209"/>
    <n v="7254"/>
    <x v="4"/>
    <x v="2"/>
    <x v="1"/>
    <x v="2"/>
  </r>
  <r>
    <s v="TXN0131"/>
    <x v="4"/>
    <s v="2024-10-28"/>
    <x v="3"/>
    <x v="3"/>
    <s v="Injection"/>
    <n v="13"/>
    <n v="437"/>
    <n v="5681"/>
    <x v="4"/>
    <x v="1"/>
    <x v="1"/>
    <x v="1"/>
  </r>
  <r>
    <s v="TXN0132"/>
    <x v="4"/>
    <s v="2024-10-13"/>
    <x v="0"/>
    <x v="0"/>
    <s v="Syrup"/>
    <n v="2"/>
    <n v="2941"/>
    <n v="5882"/>
    <x v="0"/>
    <x v="1"/>
    <x v="0"/>
    <x v="0"/>
  </r>
  <r>
    <s v="TXN0133"/>
    <x v="7"/>
    <s v="2024-09-25"/>
    <x v="5"/>
    <x v="5"/>
    <s v="Injection"/>
    <n v="5"/>
    <n v="3086"/>
    <n v="15430"/>
    <x v="2"/>
    <x v="1"/>
    <x v="1"/>
    <x v="2"/>
  </r>
  <r>
    <s v="TXN0134"/>
    <x v="0"/>
    <s v="2024-11-30"/>
    <x v="6"/>
    <x v="2"/>
    <s v="Tablet"/>
    <n v="9"/>
    <n v="2546"/>
    <n v="22914"/>
    <x v="3"/>
    <x v="1"/>
    <x v="0"/>
    <x v="2"/>
  </r>
  <r>
    <s v="TXN0135"/>
    <x v="1"/>
    <s v="2024-04-06"/>
    <x v="0"/>
    <x v="0"/>
    <s v="Capsule"/>
    <n v="6"/>
    <n v="4840"/>
    <n v="29040"/>
    <x v="3"/>
    <x v="2"/>
    <x v="1"/>
    <x v="0"/>
  </r>
  <r>
    <s v="TXN0136"/>
    <x v="9"/>
    <s v="2024-01-04"/>
    <x v="7"/>
    <x v="0"/>
    <s v="Tablet"/>
    <n v="9"/>
    <n v="2960"/>
    <n v="26640"/>
    <x v="0"/>
    <x v="1"/>
    <x v="0"/>
    <x v="2"/>
  </r>
  <r>
    <s v="TXN0137"/>
    <x v="2"/>
    <s v="2024-03-14"/>
    <x v="6"/>
    <x v="2"/>
    <s v="Syrup"/>
    <n v="13"/>
    <n v="1031"/>
    <n v="13403"/>
    <x v="3"/>
    <x v="0"/>
    <x v="1"/>
    <x v="2"/>
  </r>
  <r>
    <s v="TXN0138"/>
    <x v="10"/>
    <s v="2024-05-21"/>
    <x v="8"/>
    <x v="6"/>
    <s v="Injection"/>
    <n v="2"/>
    <n v="4149"/>
    <n v="8298"/>
    <x v="0"/>
    <x v="2"/>
    <x v="0"/>
    <x v="1"/>
  </r>
  <r>
    <s v="TXN0139"/>
    <x v="9"/>
    <s v="2024-01-10"/>
    <x v="2"/>
    <x v="2"/>
    <s v="Tablet"/>
    <n v="11"/>
    <n v="3873"/>
    <n v="42603"/>
    <x v="0"/>
    <x v="0"/>
    <x v="0"/>
    <x v="0"/>
  </r>
  <r>
    <s v="TXN0140"/>
    <x v="0"/>
    <s v="2024-11-12"/>
    <x v="2"/>
    <x v="2"/>
    <s v="Capsule"/>
    <n v="14"/>
    <n v="3037"/>
    <n v="42518"/>
    <x v="3"/>
    <x v="1"/>
    <x v="1"/>
    <x v="1"/>
  </r>
  <r>
    <s v="TXN0141"/>
    <x v="2"/>
    <s v="2024-03-07"/>
    <x v="3"/>
    <x v="3"/>
    <s v="Injection"/>
    <n v="4"/>
    <n v="4858"/>
    <n v="19432"/>
    <x v="2"/>
    <x v="1"/>
    <x v="1"/>
    <x v="1"/>
  </r>
  <r>
    <s v="TXN0142"/>
    <x v="11"/>
    <s v="2024-06-21"/>
    <x v="7"/>
    <x v="0"/>
    <s v="Tablet"/>
    <n v="9"/>
    <n v="2270"/>
    <n v="20430"/>
    <x v="0"/>
    <x v="1"/>
    <x v="0"/>
    <x v="1"/>
  </r>
  <r>
    <s v="TXN0143"/>
    <x v="11"/>
    <s v="2024-06-17"/>
    <x v="7"/>
    <x v="0"/>
    <s v="Tablet"/>
    <n v="6"/>
    <n v="888"/>
    <n v="5328"/>
    <x v="0"/>
    <x v="1"/>
    <x v="1"/>
    <x v="0"/>
  </r>
  <r>
    <s v="TXN0144"/>
    <x v="3"/>
    <s v="2024-08-24"/>
    <x v="1"/>
    <x v="1"/>
    <s v="Capsule"/>
    <n v="8"/>
    <n v="4350"/>
    <n v="34800"/>
    <x v="4"/>
    <x v="0"/>
    <x v="0"/>
    <x v="0"/>
  </r>
  <r>
    <s v="TXN0145"/>
    <x v="6"/>
    <s v="2024-02-20"/>
    <x v="0"/>
    <x v="0"/>
    <s v="Injection"/>
    <n v="9"/>
    <n v="513"/>
    <n v="4617"/>
    <x v="1"/>
    <x v="2"/>
    <x v="1"/>
    <x v="2"/>
  </r>
  <r>
    <s v="TXN0146"/>
    <x v="3"/>
    <s v="2024-08-10"/>
    <x v="5"/>
    <x v="5"/>
    <s v="Injection"/>
    <n v="7"/>
    <n v="498"/>
    <n v="3486"/>
    <x v="1"/>
    <x v="2"/>
    <x v="1"/>
    <x v="0"/>
  </r>
  <r>
    <s v="TXN0147"/>
    <x v="1"/>
    <s v="2024-04-29"/>
    <x v="5"/>
    <x v="5"/>
    <s v="Injection"/>
    <n v="10"/>
    <n v="692"/>
    <n v="6920"/>
    <x v="3"/>
    <x v="1"/>
    <x v="0"/>
    <x v="1"/>
  </r>
  <r>
    <s v="TXN0148"/>
    <x v="7"/>
    <s v="2024-09-05"/>
    <x v="0"/>
    <x v="0"/>
    <s v="Syrup"/>
    <n v="15"/>
    <n v="4844"/>
    <n v="72660"/>
    <x v="4"/>
    <x v="1"/>
    <x v="0"/>
    <x v="0"/>
  </r>
  <r>
    <s v="TXN0149"/>
    <x v="3"/>
    <s v="2024-08-23"/>
    <x v="3"/>
    <x v="3"/>
    <s v="Injection"/>
    <n v="1"/>
    <n v="4585"/>
    <n v="4585"/>
    <x v="3"/>
    <x v="1"/>
    <x v="0"/>
    <x v="1"/>
  </r>
  <r>
    <s v="TXN0150"/>
    <x v="6"/>
    <s v="2024-02-12"/>
    <x v="7"/>
    <x v="0"/>
    <s v="Syrup"/>
    <n v="5"/>
    <n v="1060"/>
    <n v="5300"/>
    <x v="2"/>
    <x v="0"/>
    <x v="0"/>
    <x v="1"/>
  </r>
  <r>
    <s v="TXN0151"/>
    <x v="5"/>
    <s v="2024-07-03"/>
    <x v="2"/>
    <x v="2"/>
    <s v="Tablet"/>
    <n v="2"/>
    <n v="3561"/>
    <n v="7122"/>
    <x v="2"/>
    <x v="1"/>
    <x v="1"/>
    <x v="0"/>
  </r>
  <r>
    <s v="TXN0152"/>
    <x v="0"/>
    <s v="2024-11-06"/>
    <x v="7"/>
    <x v="0"/>
    <s v="Tablet"/>
    <n v="7"/>
    <n v="1802"/>
    <n v="12614"/>
    <x v="1"/>
    <x v="0"/>
    <x v="1"/>
    <x v="1"/>
  </r>
  <r>
    <s v="TXN0153"/>
    <x v="6"/>
    <s v="2024-02-02"/>
    <x v="5"/>
    <x v="5"/>
    <s v="Injection"/>
    <n v="11"/>
    <n v="4611"/>
    <n v="50721"/>
    <x v="1"/>
    <x v="2"/>
    <x v="0"/>
    <x v="0"/>
  </r>
  <r>
    <s v="TXN0154"/>
    <x v="2"/>
    <s v="2024-03-30"/>
    <x v="0"/>
    <x v="0"/>
    <s v="Injection"/>
    <n v="15"/>
    <n v="1980"/>
    <n v="29700"/>
    <x v="1"/>
    <x v="1"/>
    <x v="1"/>
    <x v="0"/>
  </r>
  <r>
    <s v="TXN0155"/>
    <x v="1"/>
    <s v="2024-04-14"/>
    <x v="4"/>
    <x v="4"/>
    <s v="Syrup"/>
    <n v="2"/>
    <n v="3648"/>
    <n v="7296"/>
    <x v="2"/>
    <x v="0"/>
    <x v="0"/>
    <x v="2"/>
  </r>
  <r>
    <s v="TXN0156"/>
    <x v="3"/>
    <s v="2024-08-13"/>
    <x v="8"/>
    <x v="6"/>
    <s v="Injection"/>
    <n v="3"/>
    <n v="1318"/>
    <n v="3954"/>
    <x v="2"/>
    <x v="2"/>
    <x v="0"/>
    <x v="0"/>
  </r>
  <r>
    <s v="TXN0157"/>
    <x v="8"/>
    <s v="2024-12-13"/>
    <x v="3"/>
    <x v="3"/>
    <s v="Syrup"/>
    <n v="6"/>
    <n v="3349"/>
    <n v="20094"/>
    <x v="1"/>
    <x v="1"/>
    <x v="1"/>
    <x v="2"/>
  </r>
  <r>
    <s v="TXN0158"/>
    <x v="2"/>
    <s v="2024-03-25"/>
    <x v="0"/>
    <x v="0"/>
    <s v="Tablet"/>
    <n v="15"/>
    <n v="572"/>
    <n v="8580"/>
    <x v="3"/>
    <x v="1"/>
    <x v="1"/>
    <x v="2"/>
  </r>
  <r>
    <s v="TXN0159"/>
    <x v="10"/>
    <s v="2024-05-13"/>
    <x v="1"/>
    <x v="1"/>
    <s v="Capsule"/>
    <n v="2"/>
    <n v="2491"/>
    <n v="4982"/>
    <x v="4"/>
    <x v="2"/>
    <x v="0"/>
    <x v="1"/>
  </r>
  <r>
    <s v="TXN0160"/>
    <x v="11"/>
    <s v="2024-06-03"/>
    <x v="8"/>
    <x v="6"/>
    <s v="Syrup"/>
    <n v="6"/>
    <n v="547"/>
    <n v="3282"/>
    <x v="1"/>
    <x v="0"/>
    <x v="1"/>
    <x v="2"/>
  </r>
  <r>
    <s v="TXN0161"/>
    <x v="4"/>
    <s v="2024-10-29"/>
    <x v="2"/>
    <x v="2"/>
    <s v="Capsule"/>
    <n v="15"/>
    <n v="3156"/>
    <n v="47340"/>
    <x v="3"/>
    <x v="2"/>
    <x v="0"/>
    <x v="2"/>
  </r>
  <r>
    <s v="TXN0162"/>
    <x v="0"/>
    <s v="2024-11-01"/>
    <x v="1"/>
    <x v="1"/>
    <s v="Capsule"/>
    <n v="12"/>
    <n v="1301"/>
    <n v="15612"/>
    <x v="4"/>
    <x v="0"/>
    <x v="0"/>
    <x v="2"/>
  </r>
  <r>
    <s v="TXN0163"/>
    <x v="9"/>
    <s v="2024-01-08"/>
    <x v="8"/>
    <x v="6"/>
    <s v="Tablet"/>
    <n v="3"/>
    <n v="1093"/>
    <n v="3279"/>
    <x v="1"/>
    <x v="1"/>
    <x v="1"/>
    <x v="0"/>
  </r>
  <r>
    <s v="TXN0164"/>
    <x v="2"/>
    <s v="2024-03-27"/>
    <x v="4"/>
    <x v="4"/>
    <s v="Syrup"/>
    <n v="9"/>
    <n v="2621"/>
    <n v="23589"/>
    <x v="1"/>
    <x v="2"/>
    <x v="1"/>
    <x v="1"/>
  </r>
  <r>
    <s v="TXN0165"/>
    <x v="11"/>
    <s v="2024-06-05"/>
    <x v="6"/>
    <x v="2"/>
    <s v="Syrup"/>
    <n v="4"/>
    <n v="1795"/>
    <n v="7180"/>
    <x v="0"/>
    <x v="2"/>
    <x v="1"/>
    <x v="0"/>
  </r>
  <r>
    <s v="TXN0166"/>
    <x v="10"/>
    <s v="2024-05-22"/>
    <x v="3"/>
    <x v="3"/>
    <s v="Injection"/>
    <n v="9"/>
    <n v="934"/>
    <n v="8406"/>
    <x v="2"/>
    <x v="0"/>
    <x v="1"/>
    <x v="0"/>
  </r>
  <r>
    <s v="TXN0167"/>
    <x v="7"/>
    <s v="2024-09-02"/>
    <x v="4"/>
    <x v="4"/>
    <s v="Syrup"/>
    <n v="11"/>
    <n v="3100"/>
    <n v="34100"/>
    <x v="3"/>
    <x v="1"/>
    <x v="1"/>
    <x v="2"/>
  </r>
  <r>
    <s v="TXN0168"/>
    <x v="9"/>
    <s v="2024-01-04"/>
    <x v="0"/>
    <x v="0"/>
    <s v="Syrup"/>
    <n v="1"/>
    <n v="3743"/>
    <n v="3743"/>
    <x v="3"/>
    <x v="0"/>
    <x v="1"/>
    <x v="1"/>
  </r>
  <r>
    <s v="TXN0169"/>
    <x v="11"/>
    <s v="2024-06-09"/>
    <x v="3"/>
    <x v="3"/>
    <s v="Tablet"/>
    <n v="5"/>
    <n v="3696"/>
    <n v="18480"/>
    <x v="4"/>
    <x v="1"/>
    <x v="1"/>
    <x v="0"/>
  </r>
  <r>
    <s v="TXN0170"/>
    <x v="6"/>
    <s v="2024-02-21"/>
    <x v="0"/>
    <x v="0"/>
    <s v="Injection"/>
    <n v="9"/>
    <n v="2679"/>
    <n v="24111"/>
    <x v="3"/>
    <x v="0"/>
    <x v="1"/>
    <x v="0"/>
  </r>
  <r>
    <s v="TXN0171"/>
    <x v="5"/>
    <s v="2024-07-26"/>
    <x v="3"/>
    <x v="3"/>
    <s v="Syrup"/>
    <n v="2"/>
    <n v="2040"/>
    <n v="4080"/>
    <x v="2"/>
    <x v="1"/>
    <x v="1"/>
    <x v="1"/>
  </r>
  <r>
    <s v="TXN0172"/>
    <x v="6"/>
    <s v="2024-02-20"/>
    <x v="6"/>
    <x v="2"/>
    <s v="Injection"/>
    <n v="1"/>
    <n v="1425"/>
    <n v="1425"/>
    <x v="2"/>
    <x v="2"/>
    <x v="1"/>
    <x v="2"/>
  </r>
  <r>
    <s v="TXN0173"/>
    <x v="6"/>
    <s v="2024-02-22"/>
    <x v="4"/>
    <x v="4"/>
    <s v="Capsule"/>
    <n v="14"/>
    <n v="3163"/>
    <n v="44282"/>
    <x v="2"/>
    <x v="0"/>
    <x v="0"/>
    <x v="0"/>
  </r>
  <r>
    <s v="TXN0174"/>
    <x v="9"/>
    <s v="2024-01-18"/>
    <x v="5"/>
    <x v="5"/>
    <s v="Capsule"/>
    <n v="14"/>
    <n v="3641"/>
    <n v="50974"/>
    <x v="3"/>
    <x v="1"/>
    <x v="0"/>
    <x v="1"/>
  </r>
  <r>
    <s v="TXN0175"/>
    <x v="1"/>
    <s v="2024-04-10"/>
    <x v="6"/>
    <x v="2"/>
    <s v="Syrup"/>
    <n v="6"/>
    <n v="4411"/>
    <n v="26466"/>
    <x v="1"/>
    <x v="2"/>
    <x v="1"/>
    <x v="1"/>
  </r>
  <r>
    <s v="TXN0176"/>
    <x v="8"/>
    <s v="2024-12-15"/>
    <x v="2"/>
    <x v="2"/>
    <s v="Tablet"/>
    <n v="13"/>
    <n v="2098"/>
    <n v="27274"/>
    <x v="3"/>
    <x v="0"/>
    <x v="1"/>
    <x v="1"/>
  </r>
  <r>
    <s v="TXN0177"/>
    <x v="11"/>
    <s v="2024-06-09"/>
    <x v="6"/>
    <x v="2"/>
    <s v="Capsule"/>
    <n v="1"/>
    <n v="2973"/>
    <n v="2973"/>
    <x v="0"/>
    <x v="2"/>
    <x v="1"/>
    <x v="2"/>
  </r>
  <r>
    <s v="TXN0178"/>
    <x v="9"/>
    <s v="2024-01-09"/>
    <x v="6"/>
    <x v="2"/>
    <s v="Tablet"/>
    <n v="3"/>
    <n v="1073"/>
    <n v="3219"/>
    <x v="4"/>
    <x v="0"/>
    <x v="1"/>
    <x v="2"/>
  </r>
  <r>
    <s v="TXN0179"/>
    <x v="1"/>
    <s v="2024-04-03"/>
    <x v="0"/>
    <x v="0"/>
    <s v="Injection"/>
    <n v="6"/>
    <n v="4989"/>
    <n v="29934"/>
    <x v="2"/>
    <x v="0"/>
    <x v="0"/>
    <x v="0"/>
  </r>
  <r>
    <s v="TXN0180"/>
    <x v="10"/>
    <s v="2024-05-28"/>
    <x v="5"/>
    <x v="5"/>
    <s v="Tablet"/>
    <n v="4"/>
    <n v="1126"/>
    <n v="4504"/>
    <x v="4"/>
    <x v="0"/>
    <x v="0"/>
    <x v="0"/>
  </r>
  <r>
    <s v="TXN0181"/>
    <x v="4"/>
    <s v="2024-10-17"/>
    <x v="8"/>
    <x v="6"/>
    <s v="Injection"/>
    <n v="15"/>
    <n v="2896"/>
    <n v="43440"/>
    <x v="1"/>
    <x v="2"/>
    <x v="0"/>
    <x v="0"/>
  </r>
  <r>
    <s v="TXN0182"/>
    <x v="5"/>
    <s v="2024-07-14"/>
    <x v="7"/>
    <x v="0"/>
    <s v="Syrup"/>
    <n v="3"/>
    <n v="1774"/>
    <n v="5322"/>
    <x v="1"/>
    <x v="1"/>
    <x v="1"/>
    <x v="2"/>
  </r>
  <r>
    <s v="TXN0183"/>
    <x v="0"/>
    <s v="2024-11-20"/>
    <x v="3"/>
    <x v="3"/>
    <s v="Injection"/>
    <n v="1"/>
    <n v="4046"/>
    <n v="4046"/>
    <x v="0"/>
    <x v="0"/>
    <x v="1"/>
    <x v="1"/>
  </r>
  <r>
    <s v="TXN0184"/>
    <x v="11"/>
    <s v="2024-06-15"/>
    <x v="6"/>
    <x v="2"/>
    <s v="Tablet"/>
    <n v="10"/>
    <n v="2080"/>
    <n v="20800"/>
    <x v="2"/>
    <x v="1"/>
    <x v="0"/>
    <x v="1"/>
  </r>
  <r>
    <s v="TXN0185"/>
    <x v="3"/>
    <s v="2024-08-03"/>
    <x v="2"/>
    <x v="2"/>
    <s v="Capsule"/>
    <n v="8"/>
    <n v="2115"/>
    <n v="16920"/>
    <x v="1"/>
    <x v="1"/>
    <x v="1"/>
    <x v="1"/>
  </r>
  <r>
    <s v="TXN0186"/>
    <x v="2"/>
    <s v="2024-03-04"/>
    <x v="2"/>
    <x v="2"/>
    <s v="Syrup"/>
    <n v="14"/>
    <n v="2430"/>
    <n v="34020"/>
    <x v="4"/>
    <x v="2"/>
    <x v="1"/>
    <x v="1"/>
  </r>
  <r>
    <s v="TXN0187"/>
    <x v="6"/>
    <s v="2024-02-29"/>
    <x v="1"/>
    <x v="1"/>
    <s v="Tablet"/>
    <n v="8"/>
    <n v="1022"/>
    <n v="8176"/>
    <x v="4"/>
    <x v="2"/>
    <x v="0"/>
    <x v="0"/>
  </r>
  <r>
    <s v="TXN0188"/>
    <x v="1"/>
    <s v="2024-04-19"/>
    <x v="7"/>
    <x v="0"/>
    <s v="Injection"/>
    <n v="6"/>
    <n v="3724"/>
    <n v="22344"/>
    <x v="2"/>
    <x v="1"/>
    <x v="1"/>
    <x v="1"/>
  </r>
  <r>
    <s v="TXN0189"/>
    <x v="8"/>
    <s v="2024-12-11"/>
    <x v="3"/>
    <x v="3"/>
    <s v="Tablet"/>
    <n v="10"/>
    <n v="3641"/>
    <n v="36410"/>
    <x v="4"/>
    <x v="1"/>
    <x v="1"/>
    <x v="2"/>
  </r>
  <r>
    <s v="TXN0190"/>
    <x v="11"/>
    <s v="2024-06-09"/>
    <x v="3"/>
    <x v="3"/>
    <s v="Capsule"/>
    <n v="13"/>
    <n v="3790"/>
    <n v="49270"/>
    <x v="2"/>
    <x v="0"/>
    <x v="1"/>
    <x v="1"/>
  </r>
  <r>
    <s v="TXN0191"/>
    <x v="8"/>
    <s v="2024-12-09"/>
    <x v="1"/>
    <x v="1"/>
    <s v="Capsule"/>
    <n v="10"/>
    <n v="2872"/>
    <n v="28720"/>
    <x v="1"/>
    <x v="2"/>
    <x v="1"/>
    <x v="0"/>
  </r>
  <r>
    <s v="TXN0192"/>
    <x v="3"/>
    <s v="2024-08-29"/>
    <x v="6"/>
    <x v="2"/>
    <s v="Tablet"/>
    <n v="15"/>
    <n v="805"/>
    <n v="12075"/>
    <x v="2"/>
    <x v="2"/>
    <x v="0"/>
    <x v="0"/>
  </r>
  <r>
    <s v="TXN0193"/>
    <x v="10"/>
    <s v="2024-05-29"/>
    <x v="6"/>
    <x v="2"/>
    <s v="Injection"/>
    <n v="8"/>
    <n v="2481"/>
    <n v="19848"/>
    <x v="3"/>
    <x v="2"/>
    <x v="0"/>
    <x v="2"/>
  </r>
  <r>
    <s v="TXN0194"/>
    <x v="0"/>
    <s v="2024-11-01"/>
    <x v="2"/>
    <x v="2"/>
    <s v="Syrup"/>
    <n v="12"/>
    <n v="3744"/>
    <n v="44928"/>
    <x v="0"/>
    <x v="2"/>
    <x v="0"/>
    <x v="1"/>
  </r>
  <r>
    <s v="TXN0195"/>
    <x v="10"/>
    <s v="2024-05-22"/>
    <x v="6"/>
    <x v="2"/>
    <s v="Tablet"/>
    <n v="10"/>
    <n v="2146"/>
    <n v="21460"/>
    <x v="4"/>
    <x v="1"/>
    <x v="1"/>
    <x v="1"/>
  </r>
  <r>
    <s v="TXN0196"/>
    <x v="6"/>
    <s v="2024-02-12"/>
    <x v="8"/>
    <x v="6"/>
    <s v="Injection"/>
    <n v="11"/>
    <n v="4005"/>
    <n v="44055"/>
    <x v="0"/>
    <x v="2"/>
    <x v="0"/>
    <x v="0"/>
  </r>
  <r>
    <s v="TXN0197"/>
    <x v="9"/>
    <s v="2024-01-09"/>
    <x v="2"/>
    <x v="2"/>
    <s v="Syrup"/>
    <n v="15"/>
    <n v="4857"/>
    <n v="72855"/>
    <x v="1"/>
    <x v="1"/>
    <x v="1"/>
    <x v="1"/>
  </r>
  <r>
    <s v="TXN0198"/>
    <x v="0"/>
    <s v="2024-11-26"/>
    <x v="2"/>
    <x v="2"/>
    <s v="Injection"/>
    <n v="9"/>
    <n v="1288"/>
    <n v="11592"/>
    <x v="2"/>
    <x v="2"/>
    <x v="1"/>
    <x v="0"/>
  </r>
  <r>
    <s v="TXN0199"/>
    <x v="3"/>
    <s v="2024-08-05"/>
    <x v="4"/>
    <x v="4"/>
    <s v="Tablet"/>
    <n v="12"/>
    <n v="2765"/>
    <n v="33180"/>
    <x v="4"/>
    <x v="2"/>
    <x v="0"/>
    <x v="0"/>
  </r>
  <r>
    <s v="TXN0200"/>
    <x v="5"/>
    <s v="2024-07-15"/>
    <x v="1"/>
    <x v="1"/>
    <s v="Capsule"/>
    <n v="14"/>
    <n v="4869"/>
    <n v="68166"/>
    <x v="1"/>
    <x v="2"/>
    <x v="1"/>
    <x v="0"/>
  </r>
  <r>
    <s v="TXN0201"/>
    <x v="10"/>
    <s v="2024-05-11"/>
    <x v="3"/>
    <x v="3"/>
    <s v="Tablet"/>
    <n v="3"/>
    <n v="1502"/>
    <n v="4506"/>
    <x v="3"/>
    <x v="2"/>
    <x v="1"/>
    <x v="2"/>
  </r>
  <r>
    <s v="TXN0202"/>
    <x v="4"/>
    <s v="2024-10-11"/>
    <x v="3"/>
    <x v="3"/>
    <s v="Tablet"/>
    <n v="14"/>
    <n v="2658"/>
    <n v="37212"/>
    <x v="0"/>
    <x v="0"/>
    <x v="0"/>
    <x v="0"/>
  </r>
  <r>
    <s v="TXN0203"/>
    <x v="10"/>
    <s v="2024-05-09"/>
    <x v="7"/>
    <x v="0"/>
    <s v="Capsule"/>
    <n v="8"/>
    <n v="2172"/>
    <n v="17376"/>
    <x v="2"/>
    <x v="2"/>
    <x v="0"/>
    <x v="0"/>
  </r>
  <r>
    <s v="TXN0204"/>
    <x v="3"/>
    <s v="2024-08-28"/>
    <x v="6"/>
    <x v="2"/>
    <s v="Capsule"/>
    <n v="7"/>
    <n v="2901"/>
    <n v="20307"/>
    <x v="2"/>
    <x v="2"/>
    <x v="0"/>
    <x v="1"/>
  </r>
  <r>
    <s v="TXN0205"/>
    <x v="1"/>
    <s v="2024-04-19"/>
    <x v="5"/>
    <x v="5"/>
    <s v="Syrup"/>
    <n v="3"/>
    <n v="794"/>
    <n v="2382"/>
    <x v="3"/>
    <x v="0"/>
    <x v="1"/>
    <x v="2"/>
  </r>
  <r>
    <s v="TXN0206"/>
    <x v="5"/>
    <s v="2024-07-18"/>
    <x v="4"/>
    <x v="4"/>
    <s v="Syrup"/>
    <n v="1"/>
    <n v="4095"/>
    <n v="4095"/>
    <x v="0"/>
    <x v="2"/>
    <x v="0"/>
    <x v="1"/>
  </r>
  <r>
    <s v="TXN0207"/>
    <x v="0"/>
    <s v="2024-11-02"/>
    <x v="2"/>
    <x v="2"/>
    <s v="Tablet"/>
    <n v="13"/>
    <n v="3409"/>
    <n v="44317"/>
    <x v="1"/>
    <x v="1"/>
    <x v="1"/>
    <x v="0"/>
  </r>
  <r>
    <s v="TXN0208"/>
    <x v="10"/>
    <s v="2024-05-17"/>
    <x v="8"/>
    <x v="6"/>
    <s v="Injection"/>
    <n v="5"/>
    <n v="1978"/>
    <n v="9890"/>
    <x v="1"/>
    <x v="2"/>
    <x v="0"/>
    <x v="1"/>
  </r>
  <r>
    <s v="TXN0209"/>
    <x v="1"/>
    <s v="2024-04-26"/>
    <x v="4"/>
    <x v="4"/>
    <s v="Syrup"/>
    <n v="3"/>
    <n v="1161"/>
    <n v="3483"/>
    <x v="4"/>
    <x v="1"/>
    <x v="0"/>
    <x v="1"/>
  </r>
  <r>
    <s v="TXN0210"/>
    <x v="0"/>
    <s v="2024-11-06"/>
    <x v="5"/>
    <x v="5"/>
    <s v="Capsule"/>
    <n v="14"/>
    <n v="2082"/>
    <n v="29148"/>
    <x v="4"/>
    <x v="2"/>
    <x v="1"/>
    <x v="0"/>
  </r>
  <r>
    <s v="TXN0211"/>
    <x v="0"/>
    <s v="2024-11-06"/>
    <x v="1"/>
    <x v="1"/>
    <s v="Injection"/>
    <n v="15"/>
    <n v="4574"/>
    <n v="68610"/>
    <x v="0"/>
    <x v="2"/>
    <x v="1"/>
    <x v="2"/>
  </r>
  <r>
    <s v="TXN0212"/>
    <x v="3"/>
    <s v="2024-08-21"/>
    <x v="3"/>
    <x v="3"/>
    <s v="Tablet"/>
    <n v="3"/>
    <n v="2561"/>
    <n v="7683"/>
    <x v="4"/>
    <x v="2"/>
    <x v="0"/>
    <x v="2"/>
  </r>
  <r>
    <s v="TXN0213"/>
    <x v="1"/>
    <s v="2024-04-27"/>
    <x v="8"/>
    <x v="6"/>
    <s v="Tablet"/>
    <n v="4"/>
    <n v="4512"/>
    <n v="18048"/>
    <x v="1"/>
    <x v="0"/>
    <x v="0"/>
    <x v="2"/>
  </r>
  <r>
    <s v="TXN0214"/>
    <x v="7"/>
    <s v="2024-09-15"/>
    <x v="7"/>
    <x v="0"/>
    <s v="Syrup"/>
    <n v="6"/>
    <n v="4442"/>
    <n v="26652"/>
    <x v="4"/>
    <x v="0"/>
    <x v="0"/>
    <x v="0"/>
  </r>
  <r>
    <s v="TXN0215"/>
    <x v="8"/>
    <s v="2024-12-20"/>
    <x v="8"/>
    <x v="6"/>
    <s v="Injection"/>
    <n v="11"/>
    <n v="3831"/>
    <n v="42141"/>
    <x v="2"/>
    <x v="0"/>
    <x v="0"/>
    <x v="0"/>
  </r>
  <r>
    <s v="TXN0216"/>
    <x v="6"/>
    <s v="2024-02-13"/>
    <x v="4"/>
    <x v="4"/>
    <s v="Injection"/>
    <n v="10"/>
    <n v="1415"/>
    <n v="14150"/>
    <x v="0"/>
    <x v="1"/>
    <x v="1"/>
    <x v="1"/>
  </r>
  <r>
    <s v="TXN0217"/>
    <x v="5"/>
    <s v="2024-07-09"/>
    <x v="5"/>
    <x v="5"/>
    <s v="Capsule"/>
    <n v="9"/>
    <n v="3749"/>
    <n v="33741"/>
    <x v="0"/>
    <x v="0"/>
    <x v="1"/>
    <x v="0"/>
  </r>
  <r>
    <s v="TXN0218"/>
    <x v="2"/>
    <s v="2024-03-27"/>
    <x v="1"/>
    <x v="1"/>
    <s v="Capsule"/>
    <n v="6"/>
    <n v="4708"/>
    <n v="28248"/>
    <x v="2"/>
    <x v="0"/>
    <x v="1"/>
    <x v="2"/>
  </r>
  <r>
    <s v="TXN0219"/>
    <x v="1"/>
    <s v="2024-04-07"/>
    <x v="8"/>
    <x v="6"/>
    <s v="Syrup"/>
    <n v="15"/>
    <n v="3110"/>
    <n v="46650"/>
    <x v="2"/>
    <x v="0"/>
    <x v="0"/>
    <x v="0"/>
  </r>
  <r>
    <s v="TXN0220"/>
    <x v="7"/>
    <s v="2024-09-23"/>
    <x v="1"/>
    <x v="1"/>
    <s v="Injection"/>
    <n v="8"/>
    <n v="2830"/>
    <n v="22640"/>
    <x v="3"/>
    <x v="2"/>
    <x v="1"/>
    <x v="0"/>
  </r>
  <r>
    <s v="TXN0221"/>
    <x v="2"/>
    <s v="2024-03-19"/>
    <x v="7"/>
    <x v="0"/>
    <s v="Capsule"/>
    <n v="1"/>
    <n v="1960"/>
    <n v="1960"/>
    <x v="1"/>
    <x v="2"/>
    <x v="0"/>
    <x v="0"/>
  </r>
  <r>
    <s v="TXN0222"/>
    <x v="9"/>
    <s v="2024-01-18"/>
    <x v="6"/>
    <x v="2"/>
    <s v="Capsule"/>
    <n v="2"/>
    <n v="2963"/>
    <n v="5926"/>
    <x v="1"/>
    <x v="0"/>
    <x v="0"/>
    <x v="0"/>
  </r>
  <r>
    <s v="TXN0223"/>
    <x v="8"/>
    <s v="2024-12-23"/>
    <x v="6"/>
    <x v="2"/>
    <s v="Syrup"/>
    <n v="4"/>
    <n v="1317"/>
    <n v="5268"/>
    <x v="0"/>
    <x v="0"/>
    <x v="0"/>
    <x v="2"/>
  </r>
  <r>
    <s v="TXN0224"/>
    <x v="4"/>
    <s v="2024-10-16"/>
    <x v="6"/>
    <x v="2"/>
    <s v="Tablet"/>
    <n v="7"/>
    <n v="3948"/>
    <n v="27636"/>
    <x v="0"/>
    <x v="0"/>
    <x v="1"/>
    <x v="0"/>
  </r>
  <r>
    <s v="TXN0225"/>
    <x v="5"/>
    <s v="2024-07-27"/>
    <x v="2"/>
    <x v="2"/>
    <s v="Tablet"/>
    <n v="9"/>
    <n v="1859"/>
    <n v="16731"/>
    <x v="0"/>
    <x v="2"/>
    <x v="0"/>
    <x v="2"/>
  </r>
  <r>
    <s v="TXN0226"/>
    <x v="4"/>
    <s v="2024-10-30"/>
    <x v="5"/>
    <x v="5"/>
    <s v="Tablet"/>
    <n v="7"/>
    <n v="1379"/>
    <n v="9653"/>
    <x v="0"/>
    <x v="1"/>
    <x v="0"/>
    <x v="2"/>
  </r>
  <r>
    <s v="TXN0227"/>
    <x v="0"/>
    <s v="2024-11-11"/>
    <x v="0"/>
    <x v="0"/>
    <s v="Tablet"/>
    <n v="4"/>
    <n v="759"/>
    <n v="3036"/>
    <x v="0"/>
    <x v="1"/>
    <x v="0"/>
    <x v="2"/>
  </r>
  <r>
    <s v="TXN0228"/>
    <x v="9"/>
    <s v="2024-01-16"/>
    <x v="6"/>
    <x v="2"/>
    <s v="Capsule"/>
    <n v="15"/>
    <n v="3787"/>
    <n v="56805"/>
    <x v="3"/>
    <x v="0"/>
    <x v="1"/>
    <x v="1"/>
  </r>
  <r>
    <s v="TXN0229"/>
    <x v="2"/>
    <s v="2024-03-04"/>
    <x v="3"/>
    <x v="3"/>
    <s v="Capsule"/>
    <n v="9"/>
    <n v="2100"/>
    <n v="18900"/>
    <x v="0"/>
    <x v="2"/>
    <x v="0"/>
    <x v="0"/>
  </r>
  <r>
    <s v="TXN0230"/>
    <x v="7"/>
    <s v="2024-09-06"/>
    <x v="1"/>
    <x v="1"/>
    <s v="Injection"/>
    <n v="14"/>
    <n v="2899"/>
    <n v="40586"/>
    <x v="2"/>
    <x v="1"/>
    <x v="0"/>
    <x v="1"/>
  </r>
  <r>
    <s v="TXN0231"/>
    <x v="1"/>
    <s v="2024-04-28"/>
    <x v="1"/>
    <x v="1"/>
    <s v="Syrup"/>
    <n v="4"/>
    <n v="2793"/>
    <n v="11172"/>
    <x v="3"/>
    <x v="2"/>
    <x v="1"/>
    <x v="1"/>
  </r>
  <r>
    <s v="TXN0232"/>
    <x v="7"/>
    <s v="2024-09-23"/>
    <x v="5"/>
    <x v="5"/>
    <s v="Tablet"/>
    <n v="5"/>
    <n v="2900"/>
    <n v="14500"/>
    <x v="3"/>
    <x v="2"/>
    <x v="1"/>
    <x v="0"/>
  </r>
  <r>
    <s v="TXN0233"/>
    <x v="2"/>
    <s v="2024-03-24"/>
    <x v="0"/>
    <x v="0"/>
    <s v="Injection"/>
    <n v="14"/>
    <n v="409"/>
    <n v="5726"/>
    <x v="0"/>
    <x v="1"/>
    <x v="1"/>
    <x v="2"/>
  </r>
  <r>
    <s v="TXN0234"/>
    <x v="7"/>
    <s v="2024-09-11"/>
    <x v="8"/>
    <x v="6"/>
    <s v="Syrup"/>
    <n v="10"/>
    <n v="2635"/>
    <n v="26350"/>
    <x v="4"/>
    <x v="1"/>
    <x v="0"/>
    <x v="0"/>
  </r>
  <r>
    <s v="TXN0235"/>
    <x v="9"/>
    <s v="2024-01-21"/>
    <x v="3"/>
    <x v="3"/>
    <s v="Injection"/>
    <n v="13"/>
    <n v="3933"/>
    <n v="51129"/>
    <x v="4"/>
    <x v="2"/>
    <x v="1"/>
    <x v="2"/>
  </r>
  <r>
    <s v="TXN0236"/>
    <x v="0"/>
    <s v="2024-11-02"/>
    <x v="8"/>
    <x v="6"/>
    <s v="Injection"/>
    <n v="6"/>
    <n v="3299"/>
    <n v="19794"/>
    <x v="4"/>
    <x v="0"/>
    <x v="1"/>
    <x v="0"/>
  </r>
  <r>
    <s v="TXN0237"/>
    <x v="4"/>
    <s v="2024-10-15"/>
    <x v="1"/>
    <x v="1"/>
    <s v="Injection"/>
    <n v="6"/>
    <n v="1708"/>
    <n v="10248"/>
    <x v="2"/>
    <x v="0"/>
    <x v="0"/>
    <x v="0"/>
  </r>
  <r>
    <s v="TXN0238"/>
    <x v="0"/>
    <s v="2024-11-11"/>
    <x v="3"/>
    <x v="3"/>
    <s v="Tablet"/>
    <n v="3"/>
    <n v="4979"/>
    <n v="14937"/>
    <x v="0"/>
    <x v="1"/>
    <x v="1"/>
    <x v="1"/>
  </r>
  <r>
    <s v="TXN0239"/>
    <x v="3"/>
    <s v="2024-08-30"/>
    <x v="1"/>
    <x v="1"/>
    <s v="Tablet"/>
    <n v="2"/>
    <n v="2570"/>
    <n v="5140"/>
    <x v="4"/>
    <x v="0"/>
    <x v="0"/>
    <x v="1"/>
  </r>
  <r>
    <s v="TXN0240"/>
    <x v="3"/>
    <s v="2024-08-05"/>
    <x v="8"/>
    <x v="6"/>
    <s v="Capsule"/>
    <n v="6"/>
    <n v="3935"/>
    <n v="23610"/>
    <x v="3"/>
    <x v="0"/>
    <x v="0"/>
    <x v="0"/>
  </r>
  <r>
    <s v="TXN0241"/>
    <x v="1"/>
    <s v="2024-04-21"/>
    <x v="4"/>
    <x v="4"/>
    <s v="Tablet"/>
    <n v="8"/>
    <n v="2153"/>
    <n v="17224"/>
    <x v="0"/>
    <x v="1"/>
    <x v="1"/>
    <x v="2"/>
  </r>
  <r>
    <s v="TXN0242"/>
    <x v="10"/>
    <s v="2024-05-05"/>
    <x v="1"/>
    <x v="1"/>
    <s v="Injection"/>
    <n v="15"/>
    <n v="2093"/>
    <n v="31395"/>
    <x v="2"/>
    <x v="2"/>
    <x v="0"/>
    <x v="1"/>
  </r>
  <r>
    <s v="TXN0243"/>
    <x v="3"/>
    <s v="2024-08-30"/>
    <x v="6"/>
    <x v="2"/>
    <s v="Tablet"/>
    <n v="9"/>
    <n v="1461"/>
    <n v="13149"/>
    <x v="0"/>
    <x v="2"/>
    <x v="0"/>
    <x v="2"/>
  </r>
  <r>
    <s v="TXN0244"/>
    <x v="1"/>
    <s v="2024-04-10"/>
    <x v="6"/>
    <x v="2"/>
    <s v="Injection"/>
    <n v="10"/>
    <n v="2424"/>
    <n v="24240"/>
    <x v="1"/>
    <x v="1"/>
    <x v="1"/>
    <x v="1"/>
  </r>
  <r>
    <s v="TXN0245"/>
    <x v="6"/>
    <s v="2024-02-22"/>
    <x v="4"/>
    <x v="4"/>
    <s v="Tablet"/>
    <n v="9"/>
    <n v="3376"/>
    <n v="30384"/>
    <x v="2"/>
    <x v="1"/>
    <x v="1"/>
    <x v="0"/>
  </r>
  <r>
    <s v="TXN0246"/>
    <x v="0"/>
    <s v="2024-11-30"/>
    <x v="1"/>
    <x v="1"/>
    <s v="Tablet"/>
    <n v="12"/>
    <n v="1090"/>
    <n v="13080"/>
    <x v="2"/>
    <x v="0"/>
    <x v="1"/>
    <x v="2"/>
  </r>
  <r>
    <s v="TXN0247"/>
    <x v="11"/>
    <s v="2024-06-28"/>
    <x v="0"/>
    <x v="0"/>
    <s v="Injection"/>
    <n v="15"/>
    <n v="2658"/>
    <n v="39870"/>
    <x v="1"/>
    <x v="0"/>
    <x v="0"/>
    <x v="2"/>
  </r>
  <r>
    <s v="TXN0248"/>
    <x v="9"/>
    <s v="2024-01-03"/>
    <x v="8"/>
    <x v="6"/>
    <s v="Syrup"/>
    <n v="6"/>
    <n v="3065"/>
    <n v="18390"/>
    <x v="2"/>
    <x v="1"/>
    <x v="0"/>
    <x v="2"/>
  </r>
  <r>
    <s v="TXN0249"/>
    <x v="3"/>
    <s v="2024-08-01"/>
    <x v="1"/>
    <x v="1"/>
    <s v="Capsule"/>
    <n v="5"/>
    <n v="1809"/>
    <n v="9045"/>
    <x v="4"/>
    <x v="1"/>
    <x v="0"/>
    <x v="1"/>
  </r>
  <r>
    <s v="TXN0250"/>
    <x v="3"/>
    <s v="2024-08-05"/>
    <x v="4"/>
    <x v="4"/>
    <s v="Capsule"/>
    <n v="4"/>
    <n v="2433"/>
    <n v="9732"/>
    <x v="1"/>
    <x v="0"/>
    <x v="0"/>
    <x v="0"/>
  </r>
  <r>
    <s v="TXN0251"/>
    <x v="11"/>
    <s v="2024-06-03"/>
    <x v="8"/>
    <x v="6"/>
    <s v="Syrup"/>
    <n v="7"/>
    <n v="4531"/>
    <n v="31717"/>
    <x v="0"/>
    <x v="0"/>
    <x v="1"/>
    <x v="2"/>
  </r>
  <r>
    <s v="TXN0252"/>
    <x v="3"/>
    <s v="2024-08-29"/>
    <x v="4"/>
    <x v="4"/>
    <s v="Syrup"/>
    <n v="13"/>
    <n v="1304"/>
    <n v="16952"/>
    <x v="3"/>
    <x v="1"/>
    <x v="1"/>
    <x v="1"/>
  </r>
  <r>
    <s v="TXN0253"/>
    <x v="1"/>
    <s v="2024-04-20"/>
    <x v="3"/>
    <x v="3"/>
    <s v="Syrup"/>
    <n v="11"/>
    <n v="3488"/>
    <n v="38368"/>
    <x v="0"/>
    <x v="1"/>
    <x v="1"/>
    <x v="0"/>
  </r>
  <r>
    <s v="TXN0254"/>
    <x v="6"/>
    <s v="2024-02-29"/>
    <x v="8"/>
    <x v="6"/>
    <s v="Capsule"/>
    <n v="15"/>
    <n v="2025"/>
    <n v="30375"/>
    <x v="0"/>
    <x v="1"/>
    <x v="1"/>
    <x v="1"/>
  </r>
  <r>
    <s v="TXN0255"/>
    <x v="6"/>
    <s v="2024-02-15"/>
    <x v="1"/>
    <x v="1"/>
    <s v="Capsule"/>
    <n v="12"/>
    <n v="1715"/>
    <n v="20580"/>
    <x v="3"/>
    <x v="1"/>
    <x v="0"/>
    <x v="0"/>
  </r>
  <r>
    <s v="TXN0256"/>
    <x v="10"/>
    <s v="2024-05-06"/>
    <x v="5"/>
    <x v="5"/>
    <s v="Syrup"/>
    <n v="11"/>
    <n v="4796"/>
    <n v="52756"/>
    <x v="4"/>
    <x v="1"/>
    <x v="0"/>
    <x v="2"/>
  </r>
  <r>
    <s v="TXN0257"/>
    <x v="1"/>
    <s v="2024-04-25"/>
    <x v="8"/>
    <x v="6"/>
    <s v="Capsule"/>
    <n v="11"/>
    <n v="748"/>
    <n v="8228"/>
    <x v="4"/>
    <x v="1"/>
    <x v="1"/>
    <x v="0"/>
  </r>
  <r>
    <s v="TXN0258"/>
    <x v="0"/>
    <s v="2024-11-01"/>
    <x v="0"/>
    <x v="0"/>
    <s v="Syrup"/>
    <n v="14"/>
    <n v="1126"/>
    <n v="15764"/>
    <x v="1"/>
    <x v="1"/>
    <x v="0"/>
    <x v="2"/>
  </r>
  <r>
    <s v="TXN0259"/>
    <x v="8"/>
    <s v="2024-12-21"/>
    <x v="2"/>
    <x v="2"/>
    <s v="Syrup"/>
    <n v="15"/>
    <n v="2553"/>
    <n v="38295"/>
    <x v="1"/>
    <x v="2"/>
    <x v="0"/>
    <x v="1"/>
  </r>
  <r>
    <s v="TXN0260"/>
    <x v="8"/>
    <s v="2024-12-16"/>
    <x v="8"/>
    <x v="6"/>
    <s v="Tablet"/>
    <n v="14"/>
    <n v="788"/>
    <n v="11032"/>
    <x v="1"/>
    <x v="2"/>
    <x v="0"/>
    <x v="2"/>
  </r>
  <r>
    <s v="TXN0261"/>
    <x v="10"/>
    <s v="2024-05-23"/>
    <x v="7"/>
    <x v="0"/>
    <s v="Capsule"/>
    <n v="4"/>
    <n v="812"/>
    <n v="3248"/>
    <x v="4"/>
    <x v="0"/>
    <x v="0"/>
    <x v="1"/>
  </r>
  <r>
    <s v="TXN0262"/>
    <x v="2"/>
    <s v="2024-03-17"/>
    <x v="2"/>
    <x v="2"/>
    <s v="Capsule"/>
    <n v="8"/>
    <n v="1791"/>
    <n v="14328"/>
    <x v="3"/>
    <x v="0"/>
    <x v="1"/>
    <x v="1"/>
  </r>
  <r>
    <s v="TXN0263"/>
    <x v="0"/>
    <s v="2024-11-09"/>
    <x v="4"/>
    <x v="4"/>
    <s v="Syrup"/>
    <n v="8"/>
    <n v="2696"/>
    <n v="21568"/>
    <x v="1"/>
    <x v="2"/>
    <x v="0"/>
    <x v="1"/>
  </r>
  <r>
    <s v="TXN0264"/>
    <x v="7"/>
    <s v="2024-09-03"/>
    <x v="3"/>
    <x v="3"/>
    <s v="Syrup"/>
    <n v="5"/>
    <n v="1226"/>
    <n v="6130"/>
    <x v="2"/>
    <x v="1"/>
    <x v="0"/>
    <x v="0"/>
  </r>
  <r>
    <s v="TXN0265"/>
    <x v="4"/>
    <s v="2024-10-25"/>
    <x v="4"/>
    <x v="4"/>
    <s v="Syrup"/>
    <n v="6"/>
    <n v="1482"/>
    <n v="8892"/>
    <x v="3"/>
    <x v="0"/>
    <x v="0"/>
    <x v="0"/>
  </r>
  <r>
    <s v="TXN0266"/>
    <x v="1"/>
    <s v="2024-04-09"/>
    <x v="1"/>
    <x v="1"/>
    <s v="Capsule"/>
    <n v="2"/>
    <n v="890"/>
    <n v="1780"/>
    <x v="1"/>
    <x v="2"/>
    <x v="0"/>
    <x v="0"/>
  </r>
  <r>
    <s v="TXN0267"/>
    <x v="7"/>
    <s v="2024-09-18"/>
    <x v="1"/>
    <x v="1"/>
    <s v="Syrup"/>
    <n v="11"/>
    <n v="842"/>
    <n v="9262"/>
    <x v="2"/>
    <x v="0"/>
    <x v="0"/>
    <x v="1"/>
  </r>
  <r>
    <s v="TXN0268"/>
    <x v="8"/>
    <s v="2024-12-14"/>
    <x v="1"/>
    <x v="1"/>
    <s v="Injection"/>
    <n v="2"/>
    <n v="1003"/>
    <n v="2006"/>
    <x v="2"/>
    <x v="2"/>
    <x v="1"/>
    <x v="1"/>
  </r>
  <r>
    <s v="TXN0269"/>
    <x v="6"/>
    <s v="2024-02-03"/>
    <x v="2"/>
    <x v="2"/>
    <s v="Tablet"/>
    <n v="5"/>
    <n v="2830"/>
    <n v="14150"/>
    <x v="0"/>
    <x v="2"/>
    <x v="0"/>
    <x v="2"/>
  </r>
  <r>
    <s v="TXN0270"/>
    <x v="2"/>
    <s v="2024-03-23"/>
    <x v="1"/>
    <x v="1"/>
    <s v="Syrup"/>
    <n v="8"/>
    <n v="2652"/>
    <n v="21216"/>
    <x v="3"/>
    <x v="0"/>
    <x v="0"/>
    <x v="1"/>
  </r>
  <r>
    <s v="TXN0271"/>
    <x v="6"/>
    <s v="2024-02-10"/>
    <x v="0"/>
    <x v="0"/>
    <s v="Injection"/>
    <n v="2"/>
    <n v="969"/>
    <n v="1938"/>
    <x v="1"/>
    <x v="0"/>
    <x v="0"/>
    <x v="1"/>
  </r>
  <r>
    <s v="TXN0272"/>
    <x v="2"/>
    <s v="2024-03-26"/>
    <x v="5"/>
    <x v="5"/>
    <s v="Injection"/>
    <n v="6"/>
    <n v="1743"/>
    <n v="10458"/>
    <x v="4"/>
    <x v="0"/>
    <x v="0"/>
    <x v="1"/>
  </r>
  <r>
    <s v="TXN0273"/>
    <x v="3"/>
    <s v="2024-08-02"/>
    <x v="1"/>
    <x v="1"/>
    <s v="Injection"/>
    <n v="1"/>
    <n v="2930"/>
    <n v="2930"/>
    <x v="1"/>
    <x v="1"/>
    <x v="0"/>
    <x v="1"/>
  </r>
  <r>
    <s v="TXN0274"/>
    <x v="6"/>
    <s v="2024-02-28"/>
    <x v="4"/>
    <x v="4"/>
    <s v="Tablet"/>
    <n v="12"/>
    <n v="4481"/>
    <n v="53772"/>
    <x v="3"/>
    <x v="1"/>
    <x v="1"/>
    <x v="1"/>
  </r>
  <r>
    <s v="TXN0275"/>
    <x v="6"/>
    <s v="2024-02-29"/>
    <x v="1"/>
    <x v="1"/>
    <s v="Capsule"/>
    <n v="15"/>
    <n v="3564"/>
    <n v="53460"/>
    <x v="1"/>
    <x v="2"/>
    <x v="0"/>
    <x v="1"/>
  </r>
  <r>
    <s v="TXN0276"/>
    <x v="5"/>
    <s v="2024-07-31"/>
    <x v="6"/>
    <x v="2"/>
    <s v="Capsule"/>
    <n v="13"/>
    <n v="1845"/>
    <n v="23985"/>
    <x v="4"/>
    <x v="1"/>
    <x v="1"/>
    <x v="1"/>
  </r>
  <r>
    <s v="TXN0277"/>
    <x v="9"/>
    <s v="2024-01-24"/>
    <x v="4"/>
    <x v="4"/>
    <s v="Injection"/>
    <n v="14"/>
    <n v="3376"/>
    <n v="47264"/>
    <x v="1"/>
    <x v="2"/>
    <x v="1"/>
    <x v="1"/>
  </r>
  <r>
    <s v="TXN0278"/>
    <x v="5"/>
    <s v="2024-07-07"/>
    <x v="8"/>
    <x v="6"/>
    <s v="Tablet"/>
    <n v="14"/>
    <n v="699"/>
    <n v="9786"/>
    <x v="4"/>
    <x v="2"/>
    <x v="0"/>
    <x v="1"/>
  </r>
  <r>
    <s v="TXN0279"/>
    <x v="10"/>
    <s v="2024-05-09"/>
    <x v="1"/>
    <x v="1"/>
    <s v="Syrup"/>
    <n v="10"/>
    <n v="4626"/>
    <n v="46260"/>
    <x v="2"/>
    <x v="2"/>
    <x v="0"/>
    <x v="0"/>
  </r>
  <r>
    <s v="TXN0280"/>
    <x v="11"/>
    <s v="2024-06-03"/>
    <x v="3"/>
    <x v="3"/>
    <s v="Capsule"/>
    <n v="5"/>
    <n v="1482"/>
    <n v="7410"/>
    <x v="4"/>
    <x v="0"/>
    <x v="1"/>
    <x v="0"/>
  </r>
  <r>
    <s v="TXN0281"/>
    <x v="9"/>
    <s v="2024-01-01"/>
    <x v="5"/>
    <x v="5"/>
    <s v="Syrup"/>
    <n v="8"/>
    <n v="2224"/>
    <n v="17792"/>
    <x v="4"/>
    <x v="1"/>
    <x v="0"/>
    <x v="1"/>
  </r>
  <r>
    <s v="TXN0282"/>
    <x v="9"/>
    <s v="2024-01-03"/>
    <x v="1"/>
    <x v="1"/>
    <s v="Injection"/>
    <n v="2"/>
    <n v="2372"/>
    <n v="4744"/>
    <x v="4"/>
    <x v="1"/>
    <x v="1"/>
    <x v="0"/>
  </r>
  <r>
    <s v="TXN0283"/>
    <x v="8"/>
    <s v="2024-12-08"/>
    <x v="2"/>
    <x v="2"/>
    <s v="Tablet"/>
    <n v="8"/>
    <n v="1954"/>
    <n v="15632"/>
    <x v="4"/>
    <x v="1"/>
    <x v="0"/>
    <x v="2"/>
  </r>
  <r>
    <s v="TXN0284"/>
    <x v="3"/>
    <s v="2024-08-23"/>
    <x v="8"/>
    <x v="6"/>
    <s v="Syrup"/>
    <n v="2"/>
    <n v="704"/>
    <n v="1408"/>
    <x v="2"/>
    <x v="0"/>
    <x v="1"/>
    <x v="2"/>
  </r>
  <r>
    <s v="TXN0285"/>
    <x v="3"/>
    <s v="2024-08-31"/>
    <x v="5"/>
    <x v="5"/>
    <s v="Capsule"/>
    <n v="5"/>
    <n v="4104"/>
    <n v="20520"/>
    <x v="0"/>
    <x v="1"/>
    <x v="1"/>
    <x v="2"/>
  </r>
  <r>
    <s v="TXN0286"/>
    <x v="4"/>
    <s v="2024-10-07"/>
    <x v="7"/>
    <x v="0"/>
    <s v="Capsule"/>
    <n v="12"/>
    <n v="4866"/>
    <n v="58392"/>
    <x v="1"/>
    <x v="2"/>
    <x v="1"/>
    <x v="2"/>
  </r>
  <r>
    <s v="TXN0287"/>
    <x v="2"/>
    <s v="2024-03-20"/>
    <x v="7"/>
    <x v="0"/>
    <s v="Tablet"/>
    <n v="10"/>
    <n v="3814"/>
    <n v="38140"/>
    <x v="3"/>
    <x v="0"/>
    <x v="1"/>
    <x v="1"/>
  </r>
  <r>
    <s v="TXN0288"/>
    <x v="6"/>
    <s v="2024-02-21"/>
    <x v="3"/>
    <x v="3"/>
    <s v="Injection"/>
    <n v="15"/>
    <n v="3277"/>
    <n v="49155"/>
    <x v="2"/>
    <x v="1"/>
    <x v="1"/>
    <x v="1"/>
  </r>
  <r>
    <s v="TXN0289"/>
    <x v="2"/>
    <s v="2024-03-04"/>
    <x v="4"/>
    <x v="4"/>
    <s v="Capsule"/>
    <n v="2"/>
    <n v="3778"/>
    <n v="7556"/>
    <x v="4"/>
    <x v="1"/>
    <x v="0"/>
    <x v="1"/>
  </r>
  <r>
    <s v="TXN0290"/>
    <x v="6"/>
    <s v="2024-02-17"/>
    <x v="2"/>
    <x v="2"/>
    <s v="Tablet"/>
    <n v="4"/>
    <n v="3882"/>
    <n v="15528"/>
    <x v="1"/>
    <x v="1"/>
    <x v="0"/>
    <x v="0"/>
  </r>
  <r>
    <s v="TXN0291"/>
    <x v="10"/>
    <s v="2024-05-15"/>
    <x v="2"/>
    <x v="2"/>
    <s v="Injection"/>
    <n v="1"/>
    <n v="3508"/>
    <n v="3508"/>
    <x v="4"/>
    <x v="0"/>
    <x v="1"/>
    <x v="1"/>
  </r>
  <r>
    <s v="TXN0292"/>
    <x v="8"/>
    <s v="2024-12-28"/>
    <x v="2"/>
    <x v="2"/>
    <s v="Injection"/>
    <n v="2"/>
    <n v="2103"/>
    <n v="4206"/>
    <x v="1"/>
    <x v="2"/>
    <x v="1"/>
    <x v="0"/>
  </r>
  <r>
    <s v="TXN0293"/>
    <x v="9"/>
    <s v="2024-01-24"/>
    <x v="2"/>
    <x v="2"/>
    <s v="Injection"/>
    <n v="15"/>
    <n v="3280"/>
    <n v="49200"/>
    <x v="0"/>
    <x v="0"/>
    <x v="0"/>
    <x v="1"/>
  </r>
  <r>
    <s v="TXN0294"/>
    <x v="6"/>
    <s v="2024-02-15"/>
    <x v="8"/>
    <x v="6"/>
    <s v="Injection"/>
    <n v="3"/>
    <n v="4170"/>
    <n v="12510"/>
    <x v="1"/>
    <x v="0"/>
    <x v="0"/>
    <x v="1"/>
  </r>
  <r>
    <s v="TXN0295"/>
    <x v="0"/>
    <s v="2024-11-23"/>
    <x v="5"/>
    <x v="5"/>
    <s v="Syrup"/>
    <n v="11"/>
    <n v="2823"/>
    <n v="31053"/>
    <x v="3"/>
    <x v="0"/>
    <x v="1"/>
    <x v="0"/>
  </r>
  <r>
    <s v="TXN0296"/>
    <x v="3"/>
    <s v="2024-08-09"/>
    <x v="1"/>
    <x v="1"/>
    <s v="Tablet"/>
    <n v="8"/>
    <n v="424"/>
    <n v="3392"/>
    <x v="4"/>
    <x v="0"/>
    <x v="0"/>
    <x v="0"/>
  </r>
  <r>
    <s v="TXN0297"/>
    <x v="4"/>
    <s v="2024-10-06"/>
    <x v="8"/>
    <x v="6"/>
    <s v="Tablet"/>
    <n v="7"/>
    <n v="2936"/>
    <n v="20552"/>
    <x v="2"/>
    <x v="1"/>
    <x v="0"/>
    <x v="1"/>
  </r>
  <r>
    <s v="TXN0298"/>
    <x v="6"/>
    <s v="2024-02-13"/>
    <x v="8"/>
    <x v="6"/>
    <s v="Injection"/>
    <n v="7"/>
    <n v="2065"/>
    <n v="14455"/>
    <x v="4"/>
    <x v="0"/>
    <x v="0"/>
    <x v="0"/>
  </r>
  <r>
    <s v="TXN0299"/>
    <x v="10"/>
    <s v="2024-05-01"/>
    <x v="0"/>
    <x v="0"/>
    <s v="Injection"/>
    <n v="5"/>
    <n v="3331"/>
    <n v="16655"/>
    <x v="4"/>
    <x v="1"/>
    <x v="0"/>
    <x v="1"/>
  </r>
  <r>
    <s v="TXN0300"/>
    <x v="2"/>
    <s v="2024-03-31"/>
    <x v="2"/>
    <x v="2"/>
    <s v="Injection"/>
    <n v="6"/>
    <n v="3396"/>
    <n v="20376"/>
    <x v="1"/>
    <x v="2"/>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29FDC0-BF39-42D6-855D-2F563D5E941B}"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dataField="1" showAll="0"/>
    <pivotField showAll="0"/>
    <pivotField showAll="0"/>
    <pivotField showAll="0"/>
    <pivotField showAll="0">
      <items count="8">
        <item x="3"/>
        <item x="2"/>
        <item x="0"/>
        <item x="6"/>
        <item x="4"/>
        <item x="5"/>
        <item x="1"/>
        <item t="default"/>
      </items>
    </pivotField>
    <pivotField showAll="0"/>
    <pivotField dataField="1" showAll="0"/>
    <pivotField showAll="0"/>
    <pivotField dataField="1" showAll="0"/>
    <pivotField showAll="0"/>
    <pivotField showAll="0">
      <items count="4">
        <item x="2"/>
        <item x="0"/>
        <item x="1"/>
        <item t="default"/>
      </items>
    </pivotField>
    <pivotField showAll="0">
      <items count="3">
        <item x="1"/>
        <item x="0"/>
        <item t="default"/>
      </items>
    </pivotField>
    <pivotField showAll="0">
      <items count="4">
        <item x="0"/>
        <item x="1"/>
        <item x="2"/>
        <item t="default"/>
      </items>
    </pivotField>
  </pivotFields>
  <rowItems count="1">
    <i/>
  </rowItems>
  <colFields count="1">
    <field x="-2"/>
  </colFields>
  <colItems count="4">
    <i>
      <x/>
    </i>
    <i i="1">
      <x v="1"/>
    </i>
    <i i="2">
      <x v="2"/>
    </i>
    <i i="3">
      <x v="3"/>
    </i>
  </colItems>
  <dataFields count="4">
    <dataField name="Sum of Total_Sales" fld="8" baseField="0" baseItem="0"/>
    <dataField name="Count of Transaction_ID" fld="0" subtotal="count" baseField="0" baseItem="0"/>
    <dataField name="Average of Total_Sales2" fld="8" subtotal="average" baseField="0" baseItem="0" numFmtId="164"/>
    <dataField name="Sum of Quantity_Sold" fld="6" baseField="0" baseItem="0"/>
  </dataFields>
  <formats count="1">
    <format dxfId="24">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7093E2-AC50-4A43-9330-A35C74E5629E}" name="PivotTable4"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2:B42" firstHeaderRow="1" firstDataRow="1" firstDataCol="1"/>
  <pivotFields count="13">
    <pivotField showAll="0"/>
    <pivotField showAll="0"/>
    <pivotField showAll="0"/>
    <pivotField axis="axisRow" showAll="0" sortType="ascending">
      <items count="10">
        <item x="2"/>
        <item x="6"/>
        <item x="5"/>
        <item x="4"/>
        <item x="7"/>
        <item x="8"/>
        <item x="0"/>
        <item x="3"/>
        <item x="1"/>
        <item t="default"/>
      </items>
      <autoSortScope>
        <pivotArea dataOnly="0" outline="0" fieldPosition="0">
          <references count="1">
            <reference field="4294967294" count="1" selected="0">
              <x v="0"/>
            </reference>
          </references>
        </pivotArea>
      </autoSortScope>
    </pivotField>
    <pivotField showAll="0">
      <items count="8">
        <item x="3"/>
        <item x="2"/>
        <item x="0"/>
        <item x="6"/>
        <item x="4"/>
        <item x="5"/>
        <item x="1"/>
        <item t="default"/>
      </items>
    </pivotField>
    <pivotField showAll="0"/>
    <pivotField dataField="1" showAll="0"/>
    <pivotField showAll="0"/>
    <pivotField showAll="0"/>
    <pivotField showAll="0"/>
    <pivotField showAll="0">
      <items count="4">
        <item x="2"/>
        <item x="0"/>
        <item x="1"/>
        <item t="default"/>
      </items>
    </pivotField>
    <pivotField showAll="0">
      <items count="3">
        <item x="1"/>
        <item x="0"/>
        <item t="default"/>
      </items>
    </pivotField>
    <pivotField showAll="0">
      <items count="4">
        <item x="0"/>
        <item x="1"/>
        <item x="2"/>
        <item t="default"/>
      </items>
    </pivotField>
  </pivotFields>
  <rowFields count="1">
    <field x="3"/>
  </rowFields>
  <rowItems count="10">
    <i>
      <x v="4"/>
    </i>
    <i>
      <x v="2"/>
    </i>
    <i>
      <x v="1"/>
    </i>
    <i>
      <x v="3"/>
    </i>
    <i>
      <x v="7"/>
    </i>
    <i>
      <x v="5"/>
    </i>
    <i>
      <x/>
    </i>
    <i>
      <x v="6"/>
    </i>
    <i>
      <x v="8"/>
    </i>
    <i t="grand">
      <x/>
    </i>
  </rowItems>
  <colItems count="1">
    <i/>
  </colItems>
  <dataFields count="1">
    <dataField name="Sum of Quantity_Sold" fld="6" baseField="0" baseItem="0"/>
  </dataFields>
  <chartFormats count="1">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3E497D-5A39-40F4-93CA-14F2A1D13E79}" name="PivotTable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15:B28" firstHeaderRow="1" firstDataRow="1" firstDataCol="1"/>
  <pivotFields count="13">
    <pivotField showAll="0"/>
    <pivotField axis="axisRow" showAll="0">
      <items count="13">
        <item x="9"/>
        <item x="6"/>
        <item x="2"/>
        <item x="1"/>
        <item x="10"/>
        <item x="11"/>
        <item x="5"/>
        <item x="3"/>
        <item x="7"/>
        <item x="4"/>
        <item x="0"/>
        <item x="8"/>
        <item t="default"/>
      </items>
    </pivotField>
    <pivotField showAll="0"/>
    <pivotField showAll="0"/>
    <pivotField showAll="0">
      <items count="8">
        <item x="3"/>
        <item x="2"/>
        <item x="0"/>
        <item x="6"/>
        <item x="4"/>
        <item x="5"/>
        <item x="1"/>
        <item t="default"/>
      </items>
    </pivotField>
    <pivotField showAll="0"/>
    <pivotField showAll="0"/>
    <pivotField showAll="0"/>
    <pivotField dataField="1" showAll="0"/>
    <pivotField showAll="0"/>
    <pivotField showAll="0">
      <items count="4">
        <item x="2"/>
        <item x="0"/>
        <item x="1"/>
        <item t="default"/>
      </items>
    </pivotField>
    <pivotField showAll="0">
      <items count="3">
        <item x="1"/>
        <item x="0"/>
        <item t="default"/>
      </items>
    </pivotField>
    <pivotField showAll="0">
      <items count="4">
        <item x="0"/>
        <item x="1"/>
        <item x="2"/>
        <item t="default"/>
      </items>
    </pivotField>
  </pivotFields>
  <rowFields count="1">
    <field x="1"/>
  </rowFields>
  <rowItems count="13">
    <i>
      <x/>
    </i>
    <i>
      <x v="1"/>
    </i>
    <i>
      <x v="2"/>
    </i>
    <i>
      <x v="3"/>
    </i>
    <i>
      <x v="4"/>
    </i>
    <i>
      <x v="5"/>
    </i>
    <i>
      <x v="6"/>
    </i>
    <i>
      <x v="7"/>
    </i>
    <i>
      <x v="8"/>
    </i>
    <i>
      <x v="9"/>
    </i>
    <i>
      <x v="10"/>
    </i>
    <i>
      <x v="11"/>
    </i>
    <i t="grand">
      <x/>
    </i>
  </rowItems>
  <colItems count="1">
    <i/>
  </colItems>
  <dataFields count="1">
    <dataField name="Sum of Total_Sales" fld="8" baseField="0" baseItem="0"/>
  </dataFields>
  <formats count="1">
    <format dxfId="21">
      <pivotArea collapsedLevelsAreSubtotals="1" fieldPosition="0">
        <references count="1">
          <reference field="1" count="0"/>
        </references>
      </pivotArea>
    </format>
  </formats>
  <chartFormats count="1">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5201B1-E7F3-498A-95B3-DCC224D8BD10}" name="PivotTable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A3:B11" firstHeaderRow="1" firstDataRow="1" firstDataCol="1"/>
  <pivotFields count="13">
    <pivotField showAll="0"/>
    <pivotField showAll="0"/>
    <pivotField showAll="0"/>
    <pivotField showAll="0"/>
    <pivotField axis="axisRow" showAll="0">
      <items count="8">
        <item x="3"/>
        <item x="2"/>
        <item x="0"/>
        <item x="6"/>
        <item x="4"/>
        <item x="5"/>
        <item x="1"/>
        <item t="default"/>
      </items>
    </pivotField>
    <pivotField showAll="0"/>
    <pivotField showAll="0"/>
    <pivotField showAll="0"/>
    <pivotField dataField="1" showAll="0"/>
    <pivotField showAll="0"/>
    <pivotField showAll="0">
      <items count="4">
        <item x="2"/>
        <item x="0"/>
        <item x="1"/>
        <item t="default"/>
      </items>
    </pivotField>
    <pivotField showAll="0">
      <items count="3">
        <item x="1"/>
        <item x="0"/>
        <item t="default"/>
      </items>
    </pivotField>
    <pivotField showAll="0">
      <items count="4">
        <item x="0"/>
        <item x="1"/>
        <item x="2"/>
        <item t="default"/>
      </items>
    </pivotField>
  </pivotFields>
  <rowFields count="1">
    <field x="4"/>
  </rowFields>
  <rowItems count="8">
    <i>
      <x/>
    </i>
    <i>
      <x v="1"/>
    </i>
    <i>
      <x v="2"/>
    </i>
    <i>
      <x v="3"/>
    </i>
    <i>
      <x v="4"/>
    </i>
    <i>
      <x v="5"/>
    </i>
    <i>
      <x v="6"/>
    </i>
    <i t="grand">
      <x/>
    </i>
  </rowItems>
  <colItems count="1">
    <i/>
  </colItems>
  <dataFields count="1">
    <dataField name="Sum of Total_Sales" fld="8" baseField="0" baseItem="0"/>
  </dataFields>
  <formats count="1">
    <format dxfId="22">
      <pivotArea collapsedLevelsAreSubtotals="1" fieldPosition="0">
        <references count="1">
          <reference field="4" count="0"/>
        </references>
      </pivotArea>
    </format>
  </formats>
  <chartFormats count="1">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920485-86E3-41CC-B2AF-90494389C867}" name="PivotTable7"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A56:B60" firstHeaderRow="1" firstDataRow="1" firstDataCol="1"/>
  <pivotFields count="13">
    <pivotField showAll="0"/>
    <pivotField showAll="0"/>
    <pivotField showAll="0"/>
    <pivotField showAll="0"/>
    <pivotField showAll="0">
      <items count="8">
        <item x="3"/>
        <item x="2"/>
        <item x="0"/>
        <item x="6"/>
        <item x="4"/>
        <item x="5"/>
        <item x="1"/>
        <item t="default"/>
      </items>
    </pivotField>
    <pivotField showAll="0"/>
    <pivotField showAll="0"/>
    <pivotField showAll="0"/>
    <pivotField dataField="1" showAll="0"/>
    <pivotField showAll="0"/>
    <pivotField axis="axisRow" showAll="0">
      <items count="4">
        <item x="2"/>
        <item x="0"/>
        <item x="1"/>
        <item t="default"/>
      </items>
    </pivotField>
    <pivotField showAll="0">
      <items count="3">
        <item x="1"/>
        <item x="0"/>
        <item t="default"/>
      </items>
    </pivotField>
    <pivotField showAll="0">
      <items count="4">
        <item x="0"/>
        <item x="1"/>
        <item x="2"/>
        <item t="default"/>
      </items>
    </pivotField>
  </pivotFields>
  <rowFields count="1">
    <field x="10"/>
  </rowFields>
  <rowItems count="4">
    <i>
      <x/>
    </i>
    <i>
      <x v="1"/>
    </i>
    <i>
      <x v="2"/>
    </i>
    <i t="grand">
      <x/>
    </i>
  </rowItems>
  <colItems count="1">
    <i/>
  </colItems>
  <dataFields count="1">
    <dataField name="Sum of Total_Sales" fld="8" baseField="0" baseItem="0"/>
  </dataFields>
  <formats count="1">
    <format dxfId="20">
      <pivotArea collapsedLevelsAreSubtotals="1" fieldPosition="0">
        <references count="1">
          <reference field="10" count="0"/>
        </references>
      </pivotArea>
    </format>
  </formats>
  <chartFormats count="4">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10" count="1" selected="0">
            <x v="0"/>
          </reference>
        </references>
      </pivotArea>
    </chartFormat>
    <chartFormat chart="8" format="11">
      <pivotArea type="data" outline="0" fieldPosition="0">
        <references count="2">
          <reference field="4294967294" count="1" selected="0">
            <x v="0"/>
          </reference>
          <reference field="10" count="1" selected="0">
            <x v="1"/>
          </reference>
        </references>
      </pivotArea>
    </chartFormat>
    <chartFormat chart="8" format="12">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4673F1-104C-4115-8A95-9F6476854217}" name="PivotTable6"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46:B52" firstHeaderRow="1" firstDataRow="1" firstDataCol="1"/>
  <pivotFields count="13">
    <pivotField showAll="0"/>
    <pivotField showAll="0"/>
    <pivotField showAll="0"/>
    <pivotField showAll="0"/>
    <pivotField showAll="0">
      <items count="8">
        <item x="3"/>
        <item x="2"/>
        <item x="0"/>
        <item x="6"/>
        <item x="4"/>
        <item x="5"/>
        <item x="1"/>
        <item t="default"/>
      </items>
    </pivotField>
    <pivotField showAll="0"/>
    <pivotField dataField="1" showAll="0"/>
    <pivotField showAll="0"/>
    <pivotField showAll="0"/>
    <pivotField axis="axisRow" showAll="0">
      <items count="6">
        <item x="4"/>
        <item x="1"/>
        <item x="3"/>
        <item x="2"/>
        <item x="0"/>
        <item t="default"/>
      </items>
    </pivotField>
    <pivotField showAll="0">
      <items count="4">
        <item x="2"/>
        <item x="0"/>
        <item x="1"/>
        <item t="default"/>
      </items>
    </pivotField>
    <pivotField showAll="0">
      <items count="3">
        <item x="1"/>
        <item x="0"/>
        <item t="default"/>
      </items>
    </pivotField>
    <pivotField showAll="0">
      <items count="4">
        <item x="0"/>
        <item x="1"/>
        <item x="2"/>
        <item t="default"/>
      </items>
    </pivotField>
  </pivotFields>
  <rowFields count="1">
    <field x="9"/>
  </rowFields>
  <rowItems count="6">
    <i>
      <x/>
    </i>
    <i>
      <x v="1"/>
    </i>
    <i>
      <x v="2"/>
    </i>
    <i>
      <x v="3"/>
    </i>
    <i>
      <x v="4"/>
    </i>
    <i t="grand">
      <x/>
    </i>
  </rowItems>
  <colItems count="1">
    <i/>
  </colItems>
  <dataFields count="1">
    <dataField name="Sum of Quantity_Sold" fld="6" baseField="0" baseItem="0"/>
  </dataField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ug_Category" xr10:uid="{1A7F66F3-3879-4C2C-8CD1-D3E7E1A7C766}" sourceName="Drug_Category">
  <pivotTables>
    <pivotTable tabId="3" name="PivotTable2"/>
    <pivotTable tabId="2" name="PivotTable1"/>
    <pivotTable tabId="3" name="PivotTable3"/>
    <pivotTable tabId="3" name="PivotTable4"/>
    <pivotTable tabId="3" name="PivotTable6"/>
    <pivotTable tabId="3" name="PivotTable7"/>
  </pivotTables>
  <data>
    <tabular pivotCacheId="1997088553">
      <items count="7">
        <i x="3" s="1"/>
        <i x="2" s="1"/>
        <i x="0" s="1"/>
        <i x="6" s="1"/>
        <i x="4"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DB76D579-7C9E-402E-B924-439C2E364A0E}" sourceName="Payment_Method">
  <pivotTables>
    <pivotTable tabId="3" name="PivotTable2"/>
    <pivotTable tabId="2" name="PivotTable1"/>
    <pivotTable tabId="3" name="PivotTable3"/>
    <pivotTable tabId="3" name="PivotTable4"/>
    <pivotTable tabId="3" name="PivotTable6"/>
    <pivotTable tabId="3" name="PivotTable7"/>
  </pivotTables>
  <data>
    <tabular pivotCacheId="1997088553">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scription_Type" xr10:uid="{CFA0D955-A7E0-43FE-98F2-EDB770F46861}" sourceName="Prescription_Type">
  <pivotTables>
    <pivotTable tabId="3" name="PivotTable2"/>
    <pivotTable tabId="2" name="PivotTable1"/>
    <pivotTable tabId="3" name="PivotTable3"/>
    <pivotTable tabId="3" name="PivotTable4"/>
    <pivotTable tabId="3" name="PivotTable6"/>
    <pivotTable tabId="3" name="PivotTable7"/>
  </pivotTables>
  <data>
    <tabular pivotCacheId="1997088553">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CDD58B7C-53B8-4C8B-B941-6FEC32923D27}" sourceName="Customer_Type">
  <pivotTables>
    <pivotTable tabId="3" name="PivotTable2"/>
    <pivotTable tabId="2" name="PivotTable1"/>
    <pivotTable tabId="3" name="PivotTable3"/>
    <pivotTable tabId="3" name="PivotTable4"/>
    <pivotTable tabId="3" name="PivotTable6"/>
    <pivotTable tabId="3" name="PivotTable7"/>
  </pivotTables>
  <data>
    <tabular pivotCacheId="199708855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rug_Category 2" xr10:uid="{4797F50B-3F3C-48A4-BC2F-BB0D59D76769}" cache="Slicer_Drug_Category" caption="Drug_Category" style="SlicerStyleDark4" rowHeight="257175"/>
  <slicer name="Payment_Method 2" xr10:uid="{D9B7CCAA-C620-4BB3-AC38-8E618786D50F}" cache="Slicer_Payment_Method" caption="Payment_Method" style="SlicerStyleDark4" rowHeight="257175"/>
  <slicer name="Prescription_Type 2" xr10:uid="{C506472A-CAA8-44D3-819E-EA17B0D7A733}" cache="Slicer_Prescription_Type" caption="Prescription_Type" style="SlicerStyleDark4" rowHeight="257175"/>
  <slicer name="Customer_Type 2" xr10:uid="{34043101-DFEB-4A02-9A3F-A36DA8F1BB45}" cache="Slicer_Customer_Type" caption="Customer_Type" style="SlicerStyleDark4"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9AA7D8-9ED9-46B2-9461-ED31B2CC3C95}" name="PharmacyData" displayName="PharmacyData" ref="A1:M301" totalsRowShown="0">
  <autoFilter ref="A1:M301" xr:uid="{DB9AA7D8-9ED9-46B2-9461-ED31B2CC3C95}"/>
  <tableColumns count="13">
    <tableColumn id="1" xr3:uid="{D030AF1A-FDC8-48E2-A4B2-B68B35E0B308}" name="Transaction_ID"/>
    <tableColumn id="13" xr3:uid="{B63CBE24-85A2-4D52-A61C-B13175FA17E3}" name="Date" dataDxfId="25">
      <calculatedColumnFormula>TEXT(PharmacyData[[#This Row],[Date2]],"mmm")</calculatedColumnFormula>
    </tableColumn>
    <tableColumn id="2" xr3:uid="{86A87880-A014-46E1-97D6-99CDEA1A7393}" name="Date2"/>
    <tableColumn id="3" xr3:uid="{0AB2A572-9BED-4B0C-A067-7EC71CA39048}" name="Drug_Name"/>
    <tableColumn id="4" xr3:uid="{433F2756-B76F-4B35-ABAE-29AD65F4543A}" name="Drug_Category"/>
    <tableColumn id="5" xr3:uid="{CCC1F60B-A13E-4941-BF56-A8BBA676AC71}" name="Dosage_Form"/>
    <tableColumn id="6" xr3:uid="{1C9D7CF4-618B-4FB7-A3D8-3CA0174D6535}" name="Quantity_Sold"/>
    <tableColumn id="7" xr3:uid="{B3E0C41C-E2E0-4A5E-BDC6-8557CA4885F6}" name="Unit_Price"/>
    <tableColumn id="8" xr3:uid="{0B4579F9-3C71-48FC-8571-C34E0149AA22}" name="Total_Sales" dataDxfId="23"/>
    <tableColumn id="9" xr3:uid="{F0843068-B882-4592-914D-B89486ABB867}" name="Supplier"/>
    <tableColumn id="10" xr3:uid="{56DD227B-9BC6-401B-86D2-C853F4ACFFC4}" name="Payment_Method"/>
    <tableColumn id="11" xr3:uid="{E6C1AF54-9A77-42BB-B7D5-B0763F055E93}" name="Prescription_Type"/>
    <tableColumn id="12" xr3:uid="{C6D794A3-4DB8-477E-829F-7861E5F3FA2A}" name="Customer_Ty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57FD2-C297-4A9A-A4A7-BD666E372F8F}">
  <dimension ref="A1:P301"/>
  <sheetViews>
    <sheetView tabSelected="1" workbookViewId="0">
      <selection activeCell="E4" sqref="E4"/>
    </sheetView>
  </sheetViews>
  <sheetFormatPr defaultRowHeight="15" x14ac:dyDescent="0.25"/>
  <cols>
    <col min="1" max="1" width="16.42578125" customWidth="1"/>
    <col min="2" max="2" width="14" customWidth="1"/>
    <col min="3" max="3" width="19.5703125" customWidth="1"/>
    <col min="4" max="4" width="13.5703125" customWidth="1"/>
    <col min="5" max="5" width="16.42578125" customWidth="1"/>
    <col min="6" max="6" width="15.28515625" customWidth="1"/>
    <col min="7" max="7" width="15.7109375" customWidth="1"/>
    <col min="8" max="8" width="12.28515625" customWidth="1"/>
    <col min="9" max="9" width="13.28515625" style="6" customWidth="1"/>
    <col min="10" max="10" width="10.7109375" customWidth="1"/>
    <col min="11" max="11" width="18.7109375" customWidth="1"/>
    <col min="12" max="12" width="19.28515625" customWidth="1"/>
    <col min="13" max="13" width="17.28515625" customWidth="1"/>
  </cols>
  <sheetData>
    <row r="1" spans="1:16" ht="34.5" customHeight="1" x14ac:dyDescent="0.25">
      <c r="A1" t="s">
        <v>0</v>
      </c>
      <c r="B1" t="s">
        <v>1</v>
      </c>
      <c r="C1" t="s">
        <v>559</v>
      </c>
      <c r="D1" t="s">
        <v>2</v>
      </c>
      <c r="E1" t="s">
        <v>3</v>
      </c>
      <c r="F1" t="s">
        <v>4</v>
      </c>
      <c r="G1" t="s">
        <v>5</v>
      </c>
      <c r="H1" t="s">
        <v>6</v>
      </c>
      <c r="I1" s="6" t="s">
        <v>7</v>
      </c>
      <c r="J1" t="s">
        <v>8</v>
      </c>
      <c r="K1" t="s">
        <v>9</v>
      </c>
      <c r="L1" t="s">
        <v>10</v>
      </c>
      <c r="M1" t="s">
        <v>11</v>
      </c>
    </row>
    <row r="2" spans="1:16" x14ac:dyDescent="0.25">
      <c r="A2" t="s">
        <v>12</v>
      </c>
      <c r="B2" t="str">
        <f>TEXT(PharmacyData[[#This Row],[Date2]],"mmm")</f>
        <v>Nov</v>
      </c>
      <c r="C2" t="s">
        <v>13</v>
      </c>
      <c r="D2" t="s">
        <v>14</v>
      </c>
      <c r="E2" t="s">
        <v>15</v>
      </c>
      <c r="F2" t="s">
        <v>16</v>
      </c>
      <c r="G2">
        <v>13</v>
      </c>
      <c r="H2">
        <v>758</v>
      </c>
      <c r="I2" s="6">
        <v>9854</v>
      </c>
      <c r="J2" t="s">
        <v>17</v>
      </c>
      <c r="K2" t="s">
        <v>18</v>
      </c>
      <c r="L2" t="s">
        <v>19</v>
      </c>
      <c r="M2" t="s">
        <v>20</v>
      </c>
    </row>
    <row r="3" spans="1:16" x14ac:dyDescent="0.25">
      <c r="A3" t="s">
        <v>21</v>
      </c>
      <c r="B3" t="str">
        <f>TEXT(PharmacyData[[#This Row],[Date2]],"mmm")</f>
        <v>Apr</v>
      </c>
      <c r="C3" t="s">
        <v>22</v>
      </c>
      <c r="D3" t="s">
        <v>23</v>
      </c>
      <c r="E3" t="s">
        <v>24</v>
      </c>
      <c r="F3" t="s">
        <v>25</v>
      </c>
      <c r="G3">
        <v>12</v>
      </c>
      <c r="H3">
        <v>4059</v>
      </c>
      <c r="I3" s="6">
        <v>48708</v>
      </c>
      <c r="J3" t="s">
        <v>26</v>
      </c>
      <c r="K3" t="s">
        <v>27</v>
      </c>
      <c r="L3" t="s">
        <v>28</v>
      </c>
      <c r="M3" t="s">
        <v>20</v>
      </c>
    </row>
    <row r="4" spans="1:16" x14ac:dyDescent="0.25">
      <c r="A4" t="s">
        <v>29</v>
      </c>
      <c r="B4" t="str">
        <f>TEXT(PharmacyData[[#This Row],[Date2]],"mmm")</f>
        <v>Mar</v>
      </c>
      <c r="C4" t="s">
        <v>30</v>
      </c>
      <c r="D4" t="s">
        <v>31</v>
      </c>
      <c r="E4" t="s">
        <v>32</v>
      </c>
      <c r="F4" t="s">
        <v>33</v>
      </c>
      <c r="G4">
        <v>1</v>
      </c>
      <c r="H4">
        <v>3581</v>
      </c>
      <c r="I4" s="6">
        <v>3581</v>
      </c>
      <c r="J4" t="s">
        <v>34</v>
      </c>
      <c r="K4" t="s">
        <v>27</v>
      </c>
      <c r="L4" t="s">
        <v>19</v>
      </c>
      <c r="M4" t="s">
        <v>35</v>
      </c>
    </row>
    <row r="5" spans="1:16" x14ac:dyDescent="0.25">
      <c r="A5" t="s">
        <v>36</v>
      </c>
      <c r="B5" t="str">
        <f>TEXT(PharmacyData[[#This Row],[Date2]],"mmm")</f>
        <v>Aug</v>
      </c>
      <c r="C5" t="s">
        <v>37</v>
      </c>
      <c r="D5" t="s">
        <v>23</v>
      </c>
      <c r="E5" t="s">
        <v>24</v>
      </c>
      <c r="F5" t="s">
        <v>33</v>
      </c>
      <c r="G5">
        <v>10</v>
      </c>
      <c r="H5">
        <v>3547</v>
      </c>
      <c r="I5" s="6">
        <v>35470</v>
      </c>
      <c r="J5" t="s">
        <v>17</v>
      </c>
      <c r="K5" t="s">
        <v>27</v>
      </c>
      <c r="L5" t="s">
        <v>28</v>
      </c>
      <c r="M5" t="s">
        <v>20</v>
      </c>
    </row>
    <row r="6" spans="1:16" x14ac:dyDescent="0.25">
      <c r="A6" t="s">
        <v>38</v>
      </c>
      <c r="B6" t="str">
        <f>TEXT(PharmacyData[[#This Row],[Date2]],"mmm")</f>
        <v>Nov</v>
      </c>
      <c r="C6" t="s">
        <v>39</v>
      </c>
      <c r="D6" t="s">
        <v>40</v>
      </c>
      <c r="E6" t="s">
        <v>41</v>
      </c>
      <c r="F6" t="s">
        <v>16</v>
      </c>
      <c r="G6">
        <v>9</v>
      </c>
      <c r="H6">
        <v>3054</v>
      </c>
      <c r="I6" s="6">
        <v>27486</v>
      </c>
      <c r="J6" t="s">
        <v>42</v>
      </c>
      <c r="K6" t="s">
        <v>18</v>
      </c>
      <c r="L6" t="s">
        <v>28</v>
      </c>
      <c r="M6" t="s">
        <v>43</v>
      </c>
    </row>
    <row r="7" spans="1:16" x14ac:dyDescent="0.25">
      <c r="A7" t="s">
        <v>44</v>
      </c>
      <c r="B7" t="str">
        <f>TEXT(PharmacyData[[#This Row],[Date2]],"mmm")</f>
        <v>Oct</v>
      </c>
      <c r="C7" t="s">
        <v>45</v>
      </c>
      <c r="D7" t="s">
        <v>46</v>
      </c>
      <c r="E7" t="s">
        <v>47</v>
      </c>
      <c r="F7" t="s">
        <v>33</v>
      </c>
      <c r="G7">
        <v>12</v>
      </c>
      <c r="H7">
        <v>2396</v>
      </c>
      <c r="I7" s="6">
        <v>28752</v>
      </c>
      <c r="J7" t="s">
        <v>26</v>
      </c>
      <c r="K7" t="s">
        <v>18</v>
      </c>
      <c r="L7" t="s">
        <v>19</v>
      </c>
      <c r="M7" t="s">
        <v>43</v>
      </c>
    </row>
    <row r="8" spans="1:16" x14ac:dyDescent="0.25">
      <c r="A8" t="s">
        <v>48</v>
      </c>
      <c r="B8" t="str">
        <f>TEXT(PharmacyData[[#This Row],[Date2]],"mmm")</f>
        <v>Oct</v>
      </c>
      <c r="C8" t="s">
        <v>49</v>
      </c>
      <c r="D8" t="s">
        <v>46</v>
      </c>
      <c r="E8" t="s">
        <v>47</v>
      </c>
      <c r="F8" t="s">
        <v>33</v>
      </c>
      <c r="G8">
        <v>3</v>
      </c>
      <c r="H8">
        <v>2609</v>
      </c>
      <c r="I8" s="6">
        <v>7827</v>
      </c>
      <c r="J8" t="s">
        <v>34</v>
      </c>
      <c r="K8" t="s">
        <v>18</v>
      </c>
      <c r="L8" t="s">
        <v>19</v>
      </c>
      <c r="M8" t="s">
        <v>43</v>
      </c>
    </row>
    <row r="9" spans="1:16" x14ac:dyDescent="0.25">
      <c r="A9" t="s">
        <v>50</v>
      </c>
      <c r="B9" t="str">
        <f>TEXT(PharmacyData[[#This Row],[Date2]],"mmm")</f>
        <v>Mar</v>
      </c>
      <c r="C9" t="s">
        <v>51</v>
      </c>
      <c r="D9" t="s">
        <v>14</v>
      </c>
      <c r="E9" t="s">
        <v>15</v>
      </c>
      <c r="F9" t="s">
        <v>33</v>
      </c>
      <c r="G9">
        <v>15</v>
      </c>
      <c r="H9">
        <v>2903</v>
      </c>
      <c r="I9" s="6">
        <v>43545</v>
      </c>
      <c r="J9" t="s">
        <v>42</v>
      </c>
      <c r="K9" t="s">
        <v>52</v>
      </c>
      <c r="L9" t="s">
        <v>19</v>
      </c>
      <c r="M9" t="s">
        <v>20</v>
      </c>
    </row>
    <row r="10" spans="1:16" x14ac:dyDescent="0.25">
      <c r="A10" t="s">
        <v>53</v>
      </c>
      <c r="B10" t="str">
        <f>TEXT(PharmacyData[[#This Row],[Date2]],"mmm")</f>
        <v>Jul</v>
      </c>
      <c r="C10" t="s">
        <v>54</v>
      </c>
      <c r="D10" t="s">
        <v>46</v>
      </c>
      <c r="E10" t="s">
        <v>47</v>
      </c>
      <c r="F10" t="s">
        <v>33</v>
      </c>
      <c r="G10">
        <v>15</v>
      </c>
      <c r="H10">
        <v>1160</v>
      </c>
      <c r="I10" s="6">
        <v>17400</v>
      </c>
      <c r="J10" t="s">
        <v>55</v>
      </c>
      <c r="K10" t="s">
        <v>18</v>
      </c>
      <c r="L10" t="s">
        <v>19</v>
      </c>
      <c r="M10" t="s">
        <v>35</v>
      </c>
      <c r="P10">
        <f>SUMIFS(PharmacyData[Total_Sales], PharmacyData[Prescription_Type], "OTC")</f>
        <v>3199614</v>
      </c>
    </row>
    <row r="11" spans="1:16" x14ac:dyDescent="0.25">
      <c r="A11" t="s">
        <v>56</v>
      </c>
      <c r="B11" t="str">
        <f>TEXT(PharmacyData[[#This Row],[Date2]],"mmm")</f>
        <v>Oct</v>
      </c>
      <c r="C11" t="s">
        <v>57</v>
      </c>
      <c r="D11" t="s">
        <v>23</v>
      </c>
      <c r="E11" t="s">
        <v>24</v>
      </c>
      <c r="F11" t="s">
        <v>58</v>
      </c>
      <c r="G11">
        <v>9</v>
      </c>
      <c r="H11">
        <v>2610</v>
      </c>
      <c r="I11" s="6">
        <v>23490</v>
      </c>
      <c r="J11" t="s">
        <v>17</v>
      </c>
      <c r="K11" t="s">
        <v>52</v>
      </c>
      <c r="L11" t="s">
        <v>28</v>
      </c>
      <c r="M11" t="s">
        <v>20</v>
      </c>
    </row>
    <row r="12" spans="1:16" x14ac:dyDescent="0.25">
      <c r="A12" t="s">
        <v>59</v>
      </c>
      <c r="B12" t="str">
        <f>TEXT(PharmacyData[[#This Row],[Date2]],"mmm")</f>
        <v>Feb</v>
      </c>
      <c r="C12" t="s">
        <v>60</v>
      </c>
      <c r="D12" t="s">
        <v>40</v>
      </c>
      <c r="E12" t="s">
        <v>41</v>
      </c>
      <c r="F12" t="s">
        <v>25</v>
      </c>
      <c r="G12">
        <v>10</v>
      </c>
      <c r="H12">
        <v>4058</v>
      </c>
      <c r="I12" s="6">
        <v>40580</v>
      </c>
      <c r="J12" t="s">
        <v>42</v>
      </c>
      <c r="K12" t="s">
        <v>52</v>
      </c>
      <c r="L12" t="s">
        <v>19</v>
      </c>
      <c r="M12" t="s">
        <v>20</v>
      </c>
    </row>
    <row r="13" spans="1:16" x14ac:dyDescent="0.25">
      <c r="A13" t="s">
        <v>61</v>
      </c>
      <c r="B13" t="str">
        <f>TEXT(PharmacyData[[#This Row],[Date2]],"mmm")</f>
        <v>Nov</v>
      </c>
      <c r="C13" t="s">
        <v>62</v>
      </c>
      <c r="D13" t="s">
        <v>40</v>
      </c>
      <c r="E13" t="s">
        <v>41</v>
      </c>
      <c r="F13" t="s">
        <v>33</v>
      </c>
      <c r="G13">
        <v>3</v>
      </c>
      <c r="H13">
        <v>1874</v>
      </c>
      <c r="I13" s="6">
        <v>5622</v>
      </c>
      <c r="J13" t="s">
        <v>55</v>
      </c>
      <c r="K13" t="s">
        <v>18</v>
      </c>
      <c r="L13" t="s">
        <v>28</v>
      </c>
      <c r="M13" t="s">
        <v>35</v>
      </c>
    </row>
    <row r="14" spans="1:16" x14ac:dyDescent="0.25">
      <c r="A14" t="s">
        <v>63</v>
      </c>
      <c r="B14" t="str">
        <f>TEXT(PharmacyData[[#This Row],[Date2]],"mmm")</f>
        <v>Jul</v>
      </c>
      <c r="C14" t="s">
        <v>64</v>
      </c>
      <c r="D14" t="s">
        <v>65</v>
      </c>
      <c r="E14" t="s">
        <v>66</v>
      </c>
      <c r="F14" t="s">
        <v>33</v>
      </c>
      <c r="G14">
        <v>8</v>
      </c>
      <c r="H14">
        <v>2378</v>
      </c>
      <c r="I14" s="6">
        <v>19024</v>
      </c>
      <c r="J14" t="s">
        <v>26</v>
      </c>
      <c r="K14" t="s">
        <v>18</v>
      </c>
      <c r="L14" t="s">
        <v>28</v>
      </c>
      <c r="M14" t="s">
        <v>20</v>
      </c>
    </row>
    <row r="15" spans="1:16" x14ac:dyDescent="0.25">
      <c r="A15" t="s">
        <v>67</v>
      </c>
      <c r="B15" t="str">
        <f>TEXT(PharmacyData[[#This Row],[Date2]],"mmm")</f>
        <v>Sep</v>
      </c>
      <c r="C15" t="s">
        <v>68</v>
      </c>
      <c r="D15" t="s">
        <v>46</v>
      </c>
      <c r="E15" t="s">
        <v>47</v>
      </c>
      <c r="F15" t="s">
        <v>33</v>
      </c>
      <c r="G15">
        <v>10</v>
      </c>
      <c r="H15">
        <v>3307</v>
      </c>
      <c r="I15" s="6">
        <v>33070</v>
      </c>
      <c r="J15" t="s">
        <v>42</v>
      </c>
      <c r="K15" t="s">
        <v>52</v>
      </c>
      <c r="L15" t="s">
        <v>28</v>
      </c>
      <c r="M15" t="s">
        <v>43</v>
      </c>
    </row>
    <row r="16" spans="1:16" x14ac:dyDescent="0.25">
      <c r="A16" t="s">
        <v>69</v>
      </c>
      <c r="B16" t="str">
        <f>TEXT(PharmacyData[[#This Row],[Date2]],"mmm")</f>
        <v>Dec</v>
      </c>
      <c r="C16" t="s">
        <v>70</v>
      </c>
      <c r="D16" t="s">
        <v>71</v>
      </c>
      <c r="E16" t="s">
        <v>32</v>
      </c>
      <c r="F16" t="s">
        <v>33</v>
      </c>
      <c r="G16">
        <v>2</v>
      </c>
      <c r="H16">
        <v>510</v>
      </c>
      <c r="I16" s="6">
        <v>1020</v>
      </c>
      <c r="J16" t="s">
        <v>17</v>
      </c>
      <c r="K16" t="s">
        <v>18</v>
      </c>
      <c r="L16" t="s">
        <v>19</v>
      </c>
      <c r="M16" t="s">
        <v>43</v>
      </c>
    </row>
    <row r="17" spans="1:13" x14ac:dyDescent="0.25">
      <c r="A17" t="s">
        <v>72</v>
      </c>
      <c r="B17" t="str">
        <f>TEXT(PharmacyData[[#This Row],[Date2]],"mmm")</f>
        <v>Apr</v>
      </c>
      <c r="C17" t="s">
        <v>73</v>
      </c>
      <c r="D17" t="s">
        <v>14</v>
      </c>
      <c r="E17" t="s">
        <v>15</v>
      </c>
      <c r="F17" t="s">
        <v>25</v>
      </c>
      <c r="G17">
        <v>9</v>
      </c>
      <c r="H17">
        <v>3474</v>
      </c>
      <c r="I17" s="6">
        <v>31266</v>
      </c>
      <c r="J17" t="s">
        <v>55</v>
      </c>
      <c r="K17" t="s">
        <v>52</v>
      </c>
      <c r="L17" t="s">
        <v>19</v>
      </c>
      <c r="M17" t="s">
        <v>35</v>
      </c>
    </row>
    <row r="18" spans="1:13" x14ac:dyDescent="0.25">
      <c r="A18" t="s">
        <v>74</v>
      </c>
      <c r="B18" t="str">
        <f>TEXT(PharmacyData[[#This Row],[Date2]],"mmm")</f>
        <v>Dec</v>
      </c>
      <c r="C18" t="s">
        <v>75</v>
      </c>
      <c r="D18" t="s">
        <v>40</v>
      </c>
      <c r="E18" t="s">
        <v>41</v>
      </c>
      <c r="F18" t="s">
        <v>25</v>
      </c>
      <c r="G18">
        <v>6</v>
      </c>
      <c r="H18">
        <v>469</v>
      </c>
      <c r="I18" s="6">
        <v>2814</v>
      </c>
      <c r="J18" t="s">
        <v>26</v>
      </c>
      <c r="K18" t="s">
        <v>27</v>
      </c>
      <c r="L18" t="s">
        <v>19</v>
      </c>
      <c r="M18" t="s">
        <v>43</v>
      </c>
    </row>
    <row r="19" spans="1:13" x14ac:dyDescent="0.25">
      <c r="A19" t="s">
        <v>76</v>
      </c>
      <c r="B19" t="str">
        <f>TEXT(PharmacyData[[#This Row],[Date2]],"mmm")</f>
        <v>Sep</v>
      </c>
      <c r="C19" t="s">
        <v>77</v>
      </c>
      <c r="D19" t="s">
        <v>46</v>
      </c>
      <c r="E19" t="s">
        <v>47</v>
      </c>
      <c r="F19" t="s">
        <v>33</v>
      </c>
      <c r="G19">
        <v>15</v>
      </c>
      <c r="H19">
        <v>1371</v>
      </c>
      <c r="I19" s="6">
        <v>20565</v>
      </c>
      <c r="J19" t="s">
        <v>55</v>
      </c>
      <c r="K19" t="s">
        <v>27</v>
      </c>
      <c r="L19" t="s">
        <v>28</v>
      </c>
      <c r="M19" t="s">
        <v>43</v>
      </c>
    </row>
    <row r="20" spans="1:13" x14ac:dyDescent="0.25">
      <c r="A20" t="s">
        <v>78</v>
      </c>
      <c r="B20" t="str">
        <f>TEXT(PharmacyData[[#This Row],[Date2]],"mmm")</f>
        <v>Sep</v>
      </c>
      <c r="C20" t="s">
        <v>79</v>
      </c>
      <c r="D20" t="s">
        <v>23</v>
      </c>
      <c r="E20" t="s">
        <v>24</v>
      </c>
      <c r="F20" t="s">
        <v>25</v>
      </c>
      <c r="G20">
        <v>3</v>
      </c>
      <c r="H20">
        <v>2171</v>
      </c>
      <c r="I20" s="6">
        <v>6513</v>
      </c>
      <c r="J20" t="s">
        <v>26</v>
      </c>
      <c r="K20" t="s">
        <v>18</v>
      </c>
      <c r="L20" t="s">
        <v>28</v>
      </c>
      <c r="M20" t="s">
        <v>20</v>
      </c>
    </row>
    <row r="21" spans="1:13" x14ac:dyDescent="0.25">
      <c r="A21" t="s">
        <v>80</v>
      </c>
      <c r="B21" t="str">
        <f>TEXT(PharmacyData[[#This Row],[Date2]],"mmm")</f>
        <v>Jan</v>
      </c>
      <c r="C21" t="s">
        <v>81</v>
      </c>
      <c r="D21" t="s">
        <v>82</v>
      </c>
      <c r="E21" t="s">
        <v>15</v>
      </c>
      <c r="F21" t="s">
        <v>58</v>
      </c>
      <c r="G21">
        <v>8</v>
      </c>
      <c r="H21">
        <v>4627</v>
      </c>
      <c r="I21" s="6">
        <v>37016</v>
      </c>
      <c r="J21" t="s">
        <v>42</v>
      </c>
      <c r="K21" t="s">
        <v>27</v>
      </c>
      <c r="L21" t="s">
        <v>19</v>
      </c>
      <c r="M21" t="s">
        <v>35</v>
      </c>
    </row>
    <row r="22" spans="1:13" x14ac:dyDescent="0.25">
      <c r="A22" t="s">
        <v>83</v>
      </c>
      <c r="B22" t="str">
        <f>TEXT(PharmacyData[[#This Row],[Date2]],"mmm")</f>
        <v>Apr</v>
      </c>
      <c r="C22" t="s">
        <v>84</v>
      </c>
      <c r="D22" t="s">
        <v>71</v>
      </c>
      <c r="E22" t="s">
        <v>32</v>
      </c>
      <c r="F22" t="s">
        <v>33</v>
      </c>
      <c r="G22">
        <v>4</v>
      </c>
      <c r="H22">
        <v>4051</v>
      </c>
      <c r="I22" s="6">
        <v>16204</v>
      </c>
      <c r="J22" t="s">
        <v>26</v>
      </c>
      <c r="K22" t="s">
        <v>18</v>
      </c>
      <c r="L22" t="s">
        <v>28</v>
      </c>
      <c r="M22" t="s">
        <v>20</v>
      </c>
    </row>
    <row r="23" spans="1:13" x14ac:dyDescent="0.25">
      <c r="A23" t="s">
        <v>85</v>
      </c>
      <c r="B23" t="str">
        <f>TEXT(PharmacyData[[#This Row],[Date2]],"mmm")</f>
        <v>May</v>
      </c>
      <c r="C23" t="s">
        <v>86</v>
      </c>
      <c r="D23" t="s">
        <v>14</v>
      </c>
      <c r="E23" t="s">
        <v>15</v>
      </c>
      <c r="F23" t="s">
        <v>58</v>
      </c>
      <c r="G23">
        <v>11</v>
      </c>
      <c r="H23">
        <v>1154</v>
      </c>
      <c r="I23" s="6">
        <v>12694</v>
      </c>
      <c r="J23" t="s">
        <v>17</v>
      </c>
      <c r="K23" t="s">
        <v>18</v>
      </c>
      <c r="L23" t="s">
        <v>28</v>
      </c>
      <c r="M23" t="s">
        <v>35</v>
      </c>
    </row>
    <row r="24" spans="1:13" x14ac:dyDescent="0.25">
      <c r="A24" t="s">
        <v>87</v>
      </c>
      <c r="B24" t="str">
        <f>TEXT(PharmacyData[[#This Row],[Date2]],"mmm")</f>
        <v>Feb</v>
      </c>
      <c r="C24" t="s">
        <v>88</v>
      </c>
      <c r="D24" t="s">
        <v>40</v>
      </c>
      <c r="E24" t="s">
        <v>41</v>
      </c>
      <c r="F24" t="s">
        <v>33</v>
      </c>
      <c r="G24">
        <v>8</v>
      </c>
      <c r="H24">
        <v>454</v>
      </c>
      <c r="I24" s="6">
        <v>3632</v>
      </c>
      <c r="J24" t="s">
        <v>34</v>
      </c>
      <c r="K24" t="s">
        <v>18</v>
      </c>
      <c r="L24" t="s">
        <v>19</v>
      </c>
      <c r="M24" t="s">
        <v>35</v>
      </c>
    </row>
    <row r="25" spans="1:13" x14ac:dyDescent="0.25">
      <c r="A25" t="s">
        <v>89</v>
      </c>
      <c r="B25" t="str">
        <f>TEXT(PharmacyData[[#This Row],[Date2]],"mmm")</f>
        <v>Oct</v>
      </c>
      <c r="C25" t="s">
        <v>90</v>
      </c>
      <c r="D25" t="s">
        <v>23</v>
      </c>
      <c r="E25" t="s">
        <v>24</v>
      </c>
      <c r="F25" t="s">
        <v>33</v>
      </c>
      <c r="G25">
        <v>8</v>
      </c>
      <c r="H25">
        <v>3052</v>
      </c>
      <c r="I25" s="6">
        <v>24416</v>
      </c>
      <c r="J25" t="s">
        <v>26</v>
      </c>
      <c r="K25" t="s">
        <v>18</v>
      </c>
      <c r="L25" t="s">
        <v>19</v>
      </c>
      <c r="M25" t="s">
        <v>43</v>
      </c>
    </row>
    <row r="26" spans="1:13" x14ac:dyDescent="0.25">
      <c r="A26" t="s">
        <v>91</v>
      </c>
      <c r="B26" t="str">
        <f>TEXT(PharmacyData[[#This Row],[Date2]],"mmm")</f>
        <v>Mar</v>
      </c>
      <c r="C26" t="s">
        <v>92</v>
      </c>
      <c r="D26" t="s">
        <v>82</v>
      </c>
      <c r="E26" t="s">
        <v>15</v>
      </c>
      <c r="F26" t="s">
        <v>58</v>
      </c>
      <c r="G26">
        <v>4</v>
      </c>
      <c r="H26">
        <v>4046</v>
      </c>
      <c r="I26" s="6">
        <v>16184</v>
      </c>
      <c r="J26" t="s">
        <v>17</v>
      </c>
      <c r="K26" t="s">
        <v>52</v>
      </c>
      <c r="L26" t="s">
        <v>28</v>
      </c>
      <c r="M26" t="s">
        <v>43</v>
      </c>
    </row>
    <row r="27" spans="1:13" x14ac:dyDescent="0.25">
      <c r="A27" t="s">
        <v>93</v>
      </c>
      <c r="B27" t="str">
        <f>TEXT(PharmacyData[[#This Row],[Date2]],"mmm")</f>
        <v>Apr</v>
      </c>
      <c r="C27" t="s">
        <v>94</v>
      </c>
      <c r="D27" t="s">
        <v>46</v>
      </c>
      <c r="E27" t="s">
        <v>47</v>
      </c>
      <c r="F27" t="s">
        <v>33</v>
      </c>
      <c r="G27">
        <v>6</v>
      </c>
      <c r="H27">
        <v>1412</v>
      </c>
      <c r="I27" s="6">
        <v>8472</v>
      </c>
      <c r="J27" t="s">
        <v>42</v>
      </c>
      <c r="K27" t="s">
        <v>18</v>
      </c>
      <c r="L27" t="s">
        <v>19</v>
      </c>
      <c r="M27" t="s">
        <v>35</v>
      </c>
    </row>
    <row r="28" spans="1:13" x14ac:dyDescent="0.25">
      <c r="A28" t="s">
        <v>95</v>
      </c>
      <c r="B28" t="str">
        <f>TEXT(PharmacyData[[#This Row],[Date2]],"mmm")</f>
        <v>Jul</v>
      </c>
      <c r="C28" t="s">
        <v>96</v>
      </c>
      <c r="D28" t="s">
        <v>82</v>
      </c>
      <c r="E28" t="s">
        <v>15</v>
      </c>
      <c r="F28" t="s">
        <v>58</v>
      </c>
      <c r="G28">
        <v>3</v>
      </c>
      <c r="H28">
        <v>4353</v>
      </c>
      <c r="I28" s="6">
        <v>13059</v>
      </c>
      <c r="J28" t="s">
        <v>17</v>
      </c>
      <c r="K28" t="s">
        <v>18</v>
      </c>
      <c r="L28" t="s">
        <v>28</v>
      </c>
      <c r="M28" t="s">
        <v>43</v>
      </c>
    </row>
    <row r="29" spans="1:13" x14ac:dyDescent="0.25">
      <c r="A29" t="s">
        <v>97</v>
      </c>
      <c r="B29" t="str">
        <f>TEXT(PharmacyData[[#This Row],[Date2]],"mmm")</f>
        <v>Dec</v>
      </c>
      <c r="C29" t="s">
        <v>98</v>
      </c>
      <c r="D29" t="s">
        <v>40</v>
      </c>
      <c r="E29" t="s">
        <v>41</v>
      </c>
      <c r="F29" t="s">
        <v>25</v>
      </c>
      <c r="G29">
        <v>6</v>
      </c>
      <c r="H29">
        <v>2029</v>
      </c>
      <c r="I29" s="6">
        <v>12174</v>
      </c>
      <c r="J29" t="s">
        <v>42</v>
      </c>
      <c r="K29" t="s">
        <v>27</v>
      </c>
      <c r="L29" t="s">
        <v>28</v>
      </c>
      <c r="M29" t="s">
        <v>35</v>
      </c>
    </row>
    <row r="30" spans="1:13" x14ac:dyDescent="0.25">
      <c r="A30" t="s">
        <v>99</v>
      </c>
      <c r="B30" t="str">
        <f>TEXT(PharmacyData[[#This Row],[Date2]],"mmm")</f>
        <v>Sep</v>
      </c>
      <c r="C30" t="s">
        <v>100</v>
      </c>
      <c r="D30" t="s">
        <v>14</v>
      </c>
      <c r="E30" t="s">
        <v>15</v>
      </c>
      <c r="F30" t="s">
        <v>33</v>
      </c>
      <c r="G30">
        <v>11</v>
      </c>
      <c r="H30">
        <v>3065</v>
      </c>
      <c r="I30" s="6">
        <v>33715</v>
      </c>
      <c r="J30" t="s">
        <v>42</v>
      </c>
      <c r="K30" t="s">
        <v>18</v>
      </c>
      <c r="L30" t="s">
        <v>28</v>
      </c>
      <c r="M30" t="s">
        <v>20</v>
      </c>
    </row>
    <row r="31" spans="1:13" x14ac:dyDescent="0.25">
      <c r="A31" t="s">
        <v>101</v>
      </c>
      <c r="B31" t="str">
        <f>TEXT(PharmacyData[[#This Row],[Date2]],"mmm")</f>
        <v>Jul</v>
      </c>
      <c r="C31" t="s">
        <v>102</v>
      </c>
      <c r="D31" t="s">
        <v>82</v>
      </c>
      <c r="E31" t="s">
        <v>15</v>
      </c>
      <c r="F31" t="s">
        <v>33</v>
      </c>
      <c r="G31">
        <v>7</v>
      </c>
      <c r="H31">
        <v>2647</v>
      </c>
      <c r="I31" s="6">
        <v>18529</v>
      </c>
      <c r="J31" t="s">
        <v>42</v>
      </c>
      <c r="K31" t="s">
        <v>18</v>
      </c>
      <c r="L31" t="s">
        <v>28</v>
      </c>
      <c r="M31" t="s">
        <v>43</v>
      </c>
    </row>
    <row r="32" spans="1:13" x14ac:dyDescent="0.25">
      <c r="A32" t="s">
        <v>103</v>
      </c>
      <c r="B32" t="str">
        <f>TEXT(PharmacyData[[#This Row],[Date2]],"mmm")</f>
        <v>Aug</v>
      </c>
      <c r="C32" t="s">
        <v>104</v>
      </c>
      <c r="D32" t="s">
        <v>105</v>
      </c>
      <c r="E32" t="s">
        <v>106</v>
      </c>
      <c r="F32" t="s">
        <v>58</v>
      </c>
      <c r="G32">
        <v>6</v>
      </c>
      <c r="H32">
        <v>1072</v>
      </c>
      <c r="I32" s="6">
        <v>6432</v>
      </c>
      <c r="J32" t="s">
        <v>17</v>
      </c>
      <c r="K32" t="s">
        <v>18</v>
      </c>
      <c r="L32" t="s">
        <v>28</v>
      </c>
      <c r="M32" t="s">
        <v>43</v>
      </c>
    </row>
    <row r="33" spans="1:13" x14ac:dyDescent="0.25">
      <c r="A33" t="s">
        <v>107</v>
      </c>
      <c r="B33" t="str">
        <f>TEXT(PharmacyData[[#This Row],[Date2]],"mmm")</f>
        <v>Dec</v>
      </c>
      <c r="C33" t="s">
        <v>108</v>
      </c>
      <c r="D33" t="s">
        <v>14</v>
      </c>
      <c r="E33" t="s">
        <v>15</v>
      </c>
      <c r="F33" t="s">
        <v>58</v>
      </c>
      <c r="G33">
        <v>2</v>
      </c>
      <c r="H33">
        <v>1224</v>
      </c>
      <c r="I33" s="6">
        <v>2448</v>
      </c>
      <c r="J33" t="s">
        <v>34</v>
      </c>
      <c r="K33" t="s">
        <v>52</v>
      </c>
      <c r="L33" t="s">
        <v>19</v>
      </c>
      <c r="M33" t="s">
        <v>20</v>
      </c>
    </row>
    <row r="34" spans="1:13" x14ac:dyDescent="0.25">
      <c r="A34" t="s">
        <v>109</v>
      </c>
      <c r="B34" t="str">
        <f>TEXT(PharmacyData[[#This Row],[Date2]],"mmm")</f>
        <v>Oct</v>
      </c>
      <c r="C34" t="s">
        <v>110</v>
      </c>
      <c r="D34" t="s">
        <v>46</v>
      </c>
      <c r="E34" t="s">
        <v>47</v>
      </c>
      <c r="F34" t="s">
        <v>16</v>
      </c>
      <c r="G34">
        <v>7</v>
      </c>
      <c r="H34">
        <v>3867</v>
      </c>
      <c r="I34" s="6">
        <v>27069</v>
      </c>
      <c r="J34" t="s">
        <v>55</v>
      </c>
      <c r="K34" t="s">
        <v>52</v>
      </c>
      <c r="L34" t="s">
        <v>28</v>
      </c>
      <c r="M34" t="s">
        <v>35</v>
      </c>
    </row>
    <row r="35" spans="1:13" x14ac:dyDescent="0.25">
      <c r="A35" t="s">
        <v>111</v>
      </c>
      <c r="B35" t="str">
        <f>TEXT(PharmacyData[[#This Row],[Date2]],"mmm")</f>
        <v>Dec</v>
      </c>
      <c r="C35" t="s">
        <v>112</v>
      </c>
      <c r="D35" t="s">
        <v>46</v>
      </c>
      <c r="E35" t="s">
        <v>47</v>
      </c>
      <c r="F35" t="s">
        <v>33</v>
      </c>
      <c r="G35">
        <v>13</v>
      </c>
      <c r="H35">
        <v>1678</v>
      </c>
      <c r="I35" s="6">
        <v>21814</v>
      </c>
      <c r="J35" t="s">
        <v>17</v>
      </c>
      <c r="K35" t="s">
        <v>18</v>
      </c>
      <c r="L35" t="s">
        <v>19</v>
      </c>
      <c r="M35" t="s">
        <v>35</v>
      </c>
    </row>
    <row r="36" spans="1:13" x14ac:dyDescent="0.25">
      <c r="A36" t="s">
        <v>113</v>
      </c>
      <c r="B36" t="str">
        <f>TEXT(PharmacyData[[#This Row],[Date2]],"mmm")</f>
        <v>Feb</v>
      </c>
      <c r="C36" t="s">
        <v>114</v>
      </c>
      <c r="D36" t="s">
        <v>23</v>
      </c>
      <c r="E36" t="s">
        <v>24</v>
      </c>
      <c r="F36" t="s">
        <v>25</v>
      </c>
      <c r="G36">
        <v>14</v>
      </c>
      <c r="H36">
        <v>1112</v>
      </c>
      <c r="I36" s="6">
        <v>15568</v>
      </c>
      <c r="J36" t="s">
        <v>26</v>
      </c>
      <c r="K36" t="s">
        <v>52</v>
      </c>
      <c r="L36" t="s">
        <v>28</v>
      </c>
      <c r="M36" t="s">
        <v>35</v>
      </c>
    </row>
    <row r="37" spans="1:13" x14ac:dyDescent="0.25">
      <c r="A37" t="s">
        <v>115</v>
      </c>
      <c r="B37" t="str">
        <f>TEXT(PharmacyData[[#This Row],[Date2]],"mmm")</f>
        <v>Apr</v>
      </c>
      <c r="C37" t="s">
        <v>94</v>
      </c>
      <c r="D37" t="s">
        <v>65</v>
      </c>
      <c r="E37" t="s">
        <v>66</v>
      </c>
      <c r="F37" t="s">
        <v>33</v>
      </c>
      <c r="G37">
        <v>10</v>
      </c>
      <c r="H37">
        <v>727</v>
      </c>
      <c r="I37" s="6">
        <v>7270</v>
      </c>
      <c r="J37" t="s">
        <v>26</v>
      </c>
      <c r="K37" t="s">
        <v>27</v>
      </c>
      <c r="L37" t="s">
        <v>19</v>
      </c>
      <c r="M37" t="s">
        <v>43</v>
      </c>
    </row>
    <row r="38" spans="1:13" x14ac:dyDescent="0.25">
      <c r="A38" t="s">
        <v>116</v>
      </c>
      <c r="B38" t="str">
        <f>TEXT(PharmacyData[[#This Row],[Date2]],"mmm")</f>
        <v>Nov</v>
      </c>
      <c r="C38" t="s">
        <v>117</v>
      </c>
      <c r="D38" t="s">
        <v>31</v>
      </c>
      <c r="E38" t="s">
        <v>32</v>
      </c>
      <c r="F38" t="s">
        <v>25</v>
      </c>
      <c r="G38">
        <v>9</v>
      </c>
      <c r="H38">
        <v>3580</v>
      </c>
      <c r="I38" s="6">
        <v>32220</v>
      </c>
      <c r="J38" t="s">
        <v>34</v>
      </c>
      <c r="K38" t="s">
        <v>18</v>
      </c>
      <c r="L38" t="s">
        <v>28</v>
      </c>
      <c r="M38" t="s">
        <v>35</v>
      </c>
    </row>
    <row r="39" spans="1:13" x14ac:dyDescent="0.25">
      <c r="A39" t="s">
        <v>118</v>
      </c>
      <c r="B39" t="str">
        <f>TEXT(PharmacyData[[#This Row],[Date2]],"mmm")</f>
        <v>Aug</v>
      </c>
      <c r="C39" t="s">
        <v>119</v>
      </c>
      <c r="D39" t="s">
        <v>71</v>
      </c>
      <c r="E39" t="s">
        <v>32</v>
      </c>
      <c r="F39" t="s">
        <v>58</v>
      </c>
      <c r="G39">
        <v>11</v>
      </c>
      <c r="H39">
        <v>1996</v>
      </c>
      <c r="I39" s="6">
        <v>21956</v>
      </c>
      <c r="J39" t="s">
        <v>26</v>
      </c>
      <c r="K39" t="s">
        <v>18</v>
      </c>
      <c r="L39" t="s">
        <v>19</v>
      </c>
      <c r="M39" t="s">
        <v>35</v>
      </c>
    </row>
    <row r="40" spans="1:13" x14ac:dyDescent="0.25">
      <c r="A40" t="s">
        <v>120</v>
      </c>
      <c r="B40" t="str">
        <f>TEXT(PharmacyData[[#This Row],[Date2]],"mmm")</f>
        <v>Nov</v>
      </c>
      <c r="C40" t="s">
        <v>121</v>
      </c>
      <c r="D40" t="s">
        <v>65</v>
      </c>
      <c r="E40" t="s">
        <v>66</v>
      </c>
      <c r="F40" t="s">
        <v>33</v>
      </c>
      <c r="G40">
        <v>12</v>
      </c>
      <c r="H40">
        <v>4045</v>
      </c>
      <c r="I40" s="6">
        <v>48540</v>
      </c>
      <c r="J40" t="s">
        <v>26</v>
      </c>
      <c r="K40" t="s">
        <v>27</v>
      </c>
      <c r="L40" t="s">
        <v>19</v>
      </c>
      <c r="M40" t="s">
        <v>35</v>
      </c>
    </row>
    <row r="41" spans="1:13" x14ac:dyDescent="0.25">
      <c r="A41" t="s">
        <v>122</v>
      </c>
      <c r="B41" t="str">
        <f>TEXT(PharmacyData[[#This Row],[Date2]],"mmm")</f>
        <v>Jul</v>
      </c>
      <c r="C41" t="s">
        <v>123</v>
      </c>
      <c r="D41" t="s">
        <v>14</v>
      </c>
      <c r="E41" t="s">
        <v>15</v>
      </c>
      <c r="F41" t="s">
        <v>25</v>
      </c>
      <c r="G41">
        <v>8</v>
      </c>
      <c r="H41">
        <v>2154</v>
      </c>
      <c r="I41" s="6">
        <v>17232</v>
      </c>
      <c r="J41" t="s">
        <v>42</v>
      </c>
      <c r="K41" t="s">
        <v>52</v>
      </c>
      <c r="L41" t="s">
        <v>28</v>
      </c>
      <c r="M41" t="s">
        <v>20</v>
      </c>
    </row>
    <row r="42" spans="1:13" x14ac:dyDescent="0.25">
      <c r="A42" t="s">
        <v>124</v>
      </c>
      <c r="B42" t="str">
        <f>TEXT(PharmacyData[[#This Row],[Date2]],"mmm")</f>
        <v>Jan</v>
      </c>
      <c r="C42" t="s">
        <v>125</v>
      </c>
      <c r="D42" t="s">
        <v>40</v>
      </c>
      <c r="E42" t="s">
        <v>41</v>
      </c>
      <c r="F42" t="s">
        <v>33</v>
      </c>
      <c r="G42">
        <v>2</v>
      </c>
      <c r="H42">
        <v>3770</v>
      </c>
      <c r="I42" s="6">
        <v>7540</v>
      </c>
      <c r="J42" t="s">
        <v>55</v>
      </c>
      <c r="K42" t="s">
        <v>27</v>
      </c>
      <c r="L42" t="s">
        <v>28</v>
      </c>
      <c r="M42" t="s">
        <v>20</v>
      </c>
    </row>
    <row r="43" spans="1:13" x14ac:dyDescent="0.25">
      <c r="A43" t="s">
        <v>126</v>
      </c>
      <c r="B43" t="str">
        <f>TEXT(PharmacyData[[#This Row],[Date2]],"mmm")</f>
        <v>Feb</v>
      </c>
      <c r="C43" t="s">
        <v>127</v>
      </c>
      <c r="D43" t="s">
        <v>82</v>
      </c>
      <c r="E43" t="s">
        <v>15</v>
      </c>
      <c r="F43" t="s">
        <v>58</v>
      </c>
      <c r="G43">
        <v>15</v>
      </c>
      <c r="H43">
        <v>2081</v>
      </c>
      <c r="I43" s="6">
        <v>31215</v>
      </c>
      <c r="J43" t="s">
        <v>42</v>
      </c>
      <c r="K43" t="s">
        <v>27</v>
      </c>
      <c r="L43" t="s">
        <v>28</v>
      </c>
      <c r="M43" t="s">
        <v>43</v>
      </c>
    </row>
    <row r="44" spans="1:13" x14ac:dyDescent="0.25">
      <c r="A44" t="s">
        <v>128</v>
      </c>
      <c r="B44" t="str">
        <f>TEXT(PharmacyData[[#This Row],[Date2]],"mmm")</f>
        <v>Nov</v>
      </c>
      <c r="C44" t="s">
        <v>129</v>
      </c>
      <c r="D44" t="s">
        <v>40</v>
      </c>
      <c r="E44" t="s">
        <v>41</v>
      </c>
      <c r="F44" t="s">
        <v>33</v>
      </c>
      <c r="G44">
        <v>7</v>
      </c>
      <c r="H44">
        <v>1694</v>
      </c>
      <c r="I44" s="6">
        <v>11858</v>
      </c>
      <c r="J44" t="s">
        <v>26</v>
      </c>
      <c r="K44" t="s">
        <v>27</v>
      </c>
      <c r="L44" t="s">
        <v>19</v>
      </c>
      <c r="M44" t="s">
        <v>35</v>
      </c>
    </row>
    <row r="45" spans="1:13" x14ac:dyDescent="0.25">
      <c r="A45" t="s">
        <v>130</v>
      </c>
      <c r="B45" t="str">
        <f>TEXT(PharmacyData[[#This Row],[Date2]],"mmm")</f>
        <v>Aug</v>
      </c>
      <c r="C45" t="s">
        <v>131</v>
      </c>
      <c r="D45" t="s">
        <v>105</v>
      </c>
      <c r="E45" t="s">
        <v>106</v>
      </c>
      <c r="F45" t="s">
        <v>25</v>
      </c>
      <c r="G45">
        <v>12</v>
      </c>
      <c r="H45">
        <v>786</v>
      </c>
      <c r="I45" s="6">
        <v>9432</v>
      </c>
      <c r="J45" t="s">
        <v>55</v>
      </c>
      <c r="K45" t="s">
        <v>27</v>
      </c>
      <c r="L45" t="s">
        <v>19</v>
      </c>
      <c r="M45" t="s">
        <v>43</v>
      </c>
    </row>
    <row r="46" spans="1:13" x14ac:dyDescent="0.25">
      <c r="A46" t="s">
        <v>132</v>
      </c>
      <c r="B46" t="str">
        <f>TEXT(PharmacyData[[#This Row],[Date2]],"mmm")</f>
        <v>Nov</v>
      </c>
      <c r="C46" t="s">
        <v>133</v>
      </c>
      <c r="D46" t="s">
        <v>82</v>
      </c>
      <c r="E46" t="s">
        <v>15</v>
      </c>
      <c r="F46" t="s">
        <v>58</v>
      </c>
      <c r="G46">
        <v>15</v>
      </c>
      <c r="H46">
        <v>2085</v>
      </c>
      <c r="I46" s="6">
        <v>31275</v>
      </c>
      <c r="J46" t="s">
        <v>42</v>
      </c>
      <c r="K46" t="s">
        <v>18</v>
      </c>
      <c r="L46" t="s">
        <v>19</v>
      </c>
      <c r="M46" t="s">
        <v>43</v>
      </c>
    </row>
    <row r="47" spans="1:13" x14ac:dyDescent="0.25">
      <c r="A47" t="s">
        <v>134</v>
      </c>
      <c r="B47" t="str">
        <f>TEXT(PharmacyData[[#This Row],[Date2]],"mmm")</f>
        <v>Aug</v>
      </c>
      <c r="C47" t="s">
        <v>135</v>
      </c>
      <c r="D47" t="s">
        <v>23</v>
      </c>
      <c r="E47" t="s">
        <v>24</v>
      </c>
      <c r="F47" t="s">
        <v>58</v>
      </c>
      <c r="G47">
        <v>4</v>
      </c>
      <c r="H47">
        <v>581</v>
      </c>
      <c r="I47" s="6">
        <v>2324</v>
      </c>
      <c r="J47" t="s">
        <v>26</v>
      </c>
      <c r="K47" t="s">
        <v>52</v>
      </c>
      <c r="L47" t="s">
        <v>28</v>
      </c>
      <c r="M47" t="s">
        <v>43</v>
      </c>
    </row>
    <row r="48" spans="1:13" x14ac:dyDescent="0.25">
      <c r="A48" t="s">
        <v>136</v>
      </c>
      <c r="B48" t="str">
        <f>TEXT(PharmacyData[[#This Row],[Date2]],"mmm")</f>
        <v>Mar</v>
      </c>
      <c r="C48" t="s">
        <v>137</v>
      </c>
      <c r="D48" t="s">
        <v>31</v>
      </c>
      <c r="E48" t="s">
        <v>32</v>
      </c>
      <c r="F48" t="s">
        <v>33</v>
      </c>
      <c r="G48">
        <v>10</v>
      </c>
      <c r="H48">
        <v>1670</v>
      </c>
      <c r="I48" s="6">
        <v>16700</v>
      </c>
      <c r="J48" t="s">
        <v>26</v>
      </c>
      <c r="K48" t="s">
        <v>27</v>
      </c>
      <c r="L48" t="s">
        <v>28</v>
      </c>
      <c r="M48" t="s">
        <v>43</v>
      </c>
    </row>
    <row r="49" spans="1:13" x14ac:dyDescent="0.25">
      <c r="A49" t="s">
        <v>138</v>
      </c>
      <c r="B49" t="str">
        <f>TEXT(PharmacyData[[#This Row],[Date2]],"mmm")</f>
        <v>Jan</v>
      </c>
      <c r="C49" t="s">
        <v>139</v>
      </c>
      <c r="D49" t="s">
        <v>23</v>
      </c>
      <c r="E49" t="s">
        <v>24</v>
      </c>
      <c r="F49" t="s">
        <v>16</v>
      </c>
      <c r="G49">
        <v>13</v>
      </c>
      <c r="H49">
        <v>3513</v>
      </c>
      <c r="I49" s="6">
        <v>45669</v>
      </c>
      <c r="J49" t="s">
        <v>26</v>
      </c>
      <c r="K49" t="s">
        <v>18</v>
      </c>
      <c r="L49" t="s">
        <v>19</v>
      </c>
      <c r="M49" t="s">
        <v>20</v>
      </c>
    </row>
    <row r="50" spans="1:13" x14ac:dyDescent="0.25">
      <c r="A50" t="s">
        <v>140</v>
      </c>
      <c r="B50" t="str">
        <f>TEXT(PharmacyData[[#This Row],[Date2]],"mmm")</f>
        <v>May</v>
      </c>
      <c r="C50" t="s">
        <v>86</v>
      </c>
      <c r="D50" t="s">
        <v>71</v>
      </c>
      <c r="E50" t="s">
        <v>32</v>
      </c>
      <c r="F50" t="s">
        <v>33</v>
      </c>
      <c r="G50">
        <v>1</v>
      </c>
      <c r="H50">
        <v>1179</v>
      </c>
      <c r="I50" s="6">
        <v>1179</v>
      </c>
      <c r="J50" t="s">
        <v>17</v>
      </c>
      <c r="K50" t="s">
        <v>52</v>
      </c>
      <c r="L50" t="s">
        <v>28</v>
      </c>
      <c r="M50" t="s">
        <v>35</v>
      </c>
    </row>
    <row r="51" spans="1:13" x14ac:dyDescent="0.25">
      <c r="A51" t="s">
        <v>141</v>
      </c>
      <c r="B51" t="str">
        <f>TEXT(PharmacyData[[#This Row],[Date2]],"mmm")</f>
        <v>Dec</v>
      </c>
      <c r="C51" t="s">
        <v>142</v>
      </c>
      <c r="D51" t="s">
        <v>23</v>
      </c>
      <c r="E51" t="s">
        <v>24</v>
      </c>
      <c r="F51" t="s">
        <v>33</v>
      </c>
      <c r="G51">
        <v>8</v>
      </c>
      <c r="H51">
        <v>4361</v>
      </c>
      <c r="I51" s="6">
        <v>34888</v>
      </c>
      <c r="J51" t="s">
        <v>55</v>
      </c>
      <c r="K51" t="s">
        <v>18</v>
      </c>
      <c r="L51" t="s">
        <v>28</v>
      </c>
      <c r="M51" t="s">
        <v>35</v>
      </c>
    </row>
    <row r="52" spans="1:13" x14ac:dyDescent="0.25">
      <c r="A52" t="s">
        <v>143</v>
      </c>
      <c r="B52" t="str">
        <f>TEXT(PharmacyData[[#This Row],[Date2]],"mmm")</f>
        <v>Nov</v>
      </c>
      <c r="C52" t="s">
        <v>144</v>
      </c>
      <c r="D52" t="s">
        <v>105</v>
      </c>
      <c r="E52" t="s">
        <v>106</v>
      </c>
      <c r="F52" t="s">
        <v>33</v>
      </c>
      <c r="G52">
        <v>3</v>
      </c>
      <c r="H52">
        <v>2090</v>
      </c>
      <c r="I52" s="6">
        <v>6270</v>
      </c>
      <c r="J52" t="s">
        <v>34</v>
      </c>
      <c r="K52" t="s">
        <v>27</v>
      </c>
      <c r="L52" t="s">
        <v>28</v>
      </c>
      <c r="M52" t="s">
        <v>35</v>
      </c>
    </row>
    <row r="53" spans="1:13" x14ac:dyDescent="0.25">
      <c r="A53" t="s">
        <v>145</v>
      </c>
      <c r="B53" t="str">
        <f>TEXT(PharmacyData[[#This Row],[Date2]],"mmm")</f>
        <v>Jan</v>
      </c>
      <c r="C53" t="s">
        <v>146</v>
      </c>
      <c r="D53" t="s">
        <v>105</v>
      </c>
      <c r="E53" t="s">
        <v>106</v>
      </c>
      <c r="F53" t="s">
        <v>58</v>
      </c>
      <c r="G53">
        <v>12</v>
      </c>
      <c r="H53">
        <v>4322</v>
      </c>
      <c r="I53" s="6">
        <v>51864</v>
      </c>
      <c r="J53" t="s">
        <v>55</v>
      </c>
      <c r="K53" t="s">
        <v>18</v>
      </c>
      <c r="L53" t="s">
        <v>28</v>
      </c>
      <c r="M53" t="s">
        <v>35</v>
      </c>
    </row>
    <row r="54" spans="1:13" x14ac:dyDescent="0.25">
      <c r="A54" t="s">
        <v>147</v>
      </c>
      <c r="B54" t="str">
        <f>TEXT(PharmacyData[[#This Row],[Date2]],"mmm")</f>
        <v>Sep</v>
      </c>
      <c r="C54" t="s">
        <v>148</v>
      </c>
      <c r="D54" t="s">
        <v>14</v>
      </c>
      <c r="E54" t="s">
        <v>15</v>
      </c>
      <c r="F54" t="s">
        <v>25</v>
      </c>
      <c r="G54">
        <v>9</v>
      </c>
      <c r="H54">
        <v>1731</v>
      </c>
      <c r="I54" s="6">
        <v>15579</v>
      </c>
      <c r="J54" t="s">
        <v>34</v>
      </c>
      <c r="K54" t="s">
        <v>27</v>
      </c>
      <c r="L54" t="s">
        <v>19</v>
      </c>
      <c r="M54" t="s">
        <v>35</v>
      </c>
    </row>
    <row r="55" spans="1:13" x14ac:dyDescent="0.25">
      <c r="A55" t="s">
        <v>149</v>
      </c>
      <c r="B55" t="str">
        <f>TEXT(PharmacyData[[#This Row],[Date2]],"mmm")</f>
        <v>Jun</v>
      </c>
      <c r="C55" t="s">
        <v>150</v>
      </c>
      <c r="D55" t="s">
        <v>14</v>
      </c>
      <c r="E55" t="s">
        <v>15</v>
      </c>
      <c r="F55" t="s">
        <v>58</v>
      </c>
      <c r="G55">
        <v>2</v>
      </c>
      <c r="H55">
        <v>4126</v>
      </c>
      <c r="I55" s="6">
        <v>8252</v>
      </c>
      <c r="J55" t="s">
        <v>42</v>
      </c>
      <c r="K55" t="s">
        <v>52</v>
      </c>
      <c r="L55" t="s">
        <v>28</v>
      </c>
      <c r="M55" t="s">
        <v>35</v>
      </c>
    </row>
    <row r="56" spans="1:13" x14ac:dyDescent="0.25">
      <c r="A56" t="s">
        <v>151</v>
      </c>
      <c r="B56" t="str">
        <f>TEXT(PharmacyData[[#This Row],[Date2]],"mmm")</f>
        <v>Jun</v>
      </c>
      <c r="C56" t="s">
        <v>152</v>
      </c>
      <c r="D56" t="s">
        <v>65</v>
      </c>
      <c r="E56" t="s">
        <v>66</v>
      </c>
      <c r="F56" t="s">
        <v>33</v>
      </c>
      <c r="G56">
        <v>2</v>
      </c>
      <c r="H56">
        <v>4869</v>
      </c>
      <c r="I56" s="6">
        <v>9738</v>
      </c>
      <c r="J56" t="s">
        <v>42</v>
      </c>
      <c r="K56" t="s">
        <v>27</v>
      </c>
      <c r="L56" t="s">
        <v>19</v>
      </c>
      <c r="M56" t="s">
        <v>35</v>
      </c>
    </row>
    <row r="57" spans="1:13" x14ac:dyDescent="0.25">
      <c r="A57" t="s">
        <v>153</v>
      </c>
      <c r="B57" t="str">
        <f>TEXT(PharmacyData[[#This Row],[Date2]],"mmm")</f>
        <v>Jan</v>
      </c>
      <c r="C57" t="s">
        <v>154</v>
      </c>
      <c r="D57" t="s">
        <v>40</v>
      </c>
      <c r="E57" t="s">
        <v>41</v>
      </c>
      <c r="F57" t="s">
        <v>33</v>
      </c>
      <c r="G57">
        <v>10</v>
      </c>
      <c r="H57">
        <v>3371</v>
      </c>
      <c r="I57" s="6">
        <v>33710</v>
      </c>
      <c r="J57" t="s">
        <v>34</v>
      </c>
      <c r="K57" t="s">
        <v>52</v>
      </c>
      <c r="L57" t="s">
        <v>19</v>
      </c>
      <c r="M57" t="s">
        <v>20</v>
      </c>
    </row>
    <row r="58" spans="1:13" x14ac:dyDescent="0.25">
      <c r="A58" t="s">
        <v>155</v>
      </c>
      <c r="B58" t="str">
        <f>TEXT(PharmacyData[[#This Row],[Date2]],"mmm")</f>
        <v>Mar</v>
      </c>
      <c r="C58" t="s">
        <v>156</v>
      </c>
      <c r="D58" t="s">
        <v>14</v>
      </c>
      <c r="E58" t="s">
        <v>15</v>
      </c>
      <c r="F58" t="s">
        <v>25</v>
      </c>
      <c r="G58">
        <v>13</v>
      </c>
      <c r="H58">
        <v>3838</v>
      </c>
      <c r="I58" s="6">
        <v>49894</v>
      </c>
      <c r="J58" t="s">
        <v>34</v>
      </c>
      <c r="K58" t="s">
        <v>27</v>
      </c>
      <c r="L58" t="s">
        <v>28</v>
      </c>
      <c r="M58" t="s">
        <v>20</v>
      </c>
    </row>
    <row r="59" spans="1:13" x14ac:dyDescent="0.25">
      <c r="A59" t="s">
        <v>157</v>
      </c>
      <c r="B59" t="str">
        <f>TEXT(PharmacyData[[#This Row],[Date2]],"mmm")</f>
        <v>Apr</v>
      </c>
      <c r="C59" t="s">
        <v>158</v>
      </c>
      <c r="D59" t="s">
        <v>82</v>
      </c>
      <c r="E59" t="s">
        <v>15</v>
      </c>
      <c r="F59" t="s">
        <v>16</v>
      </c>
      <c r="G59">
        <v>12</v>
      </c>
      <c r="H59">
        <v>4084</v>
      </c>
      <c r="I59" s="6">
        <v>49008</v>
      </c>
      <c r="J59" t="s">
        <v>26</v>
      </c>
      <c r="K59" t="s">
        <v>52</v>
      </c>
      <c r="L59" t="s">
        <v>28</v>
      </c>
      <c r="M59" t="s">
        <v>43</v>
      </c>
    </row>
    <row r="60" spans="1:13" x14ac:dyDescent="0.25">
      <c r="A60" t="s">
        <v>159</v>
      </c>
      <c r="B60" t="str">
        <f>TEXT(PharmacyData[[#This Row],[Date2]],"mmm")</f>
        <v>Sep</v>
      </c>
      <c r="C60" t="s">
        <v>160</v>
      </c>
      <c r="D60" t="s">
        <v>14</v>
      </c>
      <c r="E60" t="s">
        <v>15</v>
      </c>
      <c r="F60" t="s">
        <v>16</v>
      </c>
      <c r="G60">
        <v>4</v>
      </c>
      <c r="H60">
        <v>1464</v>
      </c>
      <c r="I60" s="6">
        <v>5856</v>
      </c>
      <c r="J60" t="s">
        <v>55</v>
      </c>
      <c r="K60" t="s">
        <v>18</v>
      </c>
      <c r="L60" t="s">
        <v>19</v>
      </c>
      <c r="M60" t="s">
        <v>43</v>
      </c>
    </row>
    <row r="61" spans="1:13" x14ac:dyDescent="0.25">
      <c r="A61" t="s">
        <v>161</v>
      </c>
      <c r="B61" t="str">
        <f>TEXT(PharmacyData[[#This Row],[Date2]],"mmm")</f>
        <v>Mar</v>
      </c>
      <c r="C61" t="s">
        <v>162</v>
      </c>
      <c r="D61" t="s">
        <v>105</v>
      </c>
      <c r="E61" t="s">
        <v>106</v>
      </c>
      <c r="F61" t="s">
        <v>25</v>
      </c>
      <c r="G61">
        <v>10</v>
      </c>
      <c r="H61">
        <v>4287</v>
      </c>
      <c r="I61" s="6">
        <v>42870</v>
      </c>
      <c r="J61" t="s">
        <v>42</v>
      </c>
      <c r="K61" t="s">
        <v>52</v>
      </c>
      <c r="L61" t="s">
        <v>28</v>
      </c>
      <c r="M61" t="s">
        <v>20</v>
      </c>
    </row>
    <row r="62" spans="1:13" x14ac:dyDescent="0.25">
      <c r="A62" t="s">
        <v>163</v>
      </c>
      <c r="B62" t="str">
        <f>TEXT(PharmacyData[[#This Row],[Date2]],"mmm")</f>
        <v>Oct</v>
      </c>
      <c r="C62" t="s">
        <v>164</v>
      </c>
      <c r="D62" t="s">
        <v>23</v>
      </c>
      <c r="E62" t="s">
        <v>24</v>
      </c>
      <c r="F62" t="s">
        <v>25</v>
      </c>
      <c r="G62">
        <v>8</v>
      </c>
      <c r="H62">
        <v>1943</v>
      </c>
      <c r="I62" s="6">
        <v>15544</v>
      </c>
      <c r="J62" t="s">
        <v>55</v>
      </c>
      <c r="K62" t="s">
        <v>52</v>
      </c>
      <c r="L62" t="s">
        <v>28</v>
      </c>
      <c r="M62" t="s">
        <v>20</v>
      </c>
    </row>
    <row r="63" spans="1:13" x14ac:dyDescent="0.25">
      <c r="A63" t="s">
        <v>165</v>
      </c>
      <c r="B63" t="str">
        <f>TEXT(PharmacyData[[#This Row],[Date2]],"mmm")</f>
        <v>Nov</v>
      </c>
      <c r="C63" t="s">
        <v>62</v>
      </c>
      <c r="D63" t="s">
        <v>14</v>
      </c>
      <c r="E63" t="s">
        <v>15</v>
      </c>
      <c r="F63" t="s">
        <v>16</v>
      </c>
      <c r="G63">
        <v>2</v>
      </c>
      <c r="H63">
        <v>405</v>
      </c>
      <c r="I63" s="6">
        <v>810</v>
      </c>
      <c r="J63" t="s">
        <v>55</v>
      </c>
      <c r="K63" t="s">
        <v>27</v>
      </c>
      <c r="L63" t="s">
        <v>19</v>
      </c>
      <c r="M63" t="s">
        <v>20</v>
      </c>
    </row>
    <row r="64" spans="1:13" x14ac:dyDescent="0.25">
      <c r="A64" t="s">
        <v>166</v>
      </c>
      <c r="B64" t="str">
        <f>TEXT(PharmacyData[[#This Row],[Date2]],"mmm")</f>
        <v>Jul</v>
      </c>
      <c r="C64" t="s">
        <v>167</v>
      </c>
      <c r="D64" t="s">
        <v>31</v>
      </c>
      <c r="E64" t="s">
        <v>32</v>
      </c>
      <c r="F64" t="s">
        <v>33</v>
      </c>
      <c r="G64">
        <v>14</v>
      </c>
      <c r="H64">
        <v>1050</v>
      </c>
      <c r="I64" s="6">
        <v>14700</v>
      </c>
      <c r="J64" t="s">
        <v>26</v>
      </c>
      <c r="K64" t="s">
        <v>27</v>
      </c>
      <c r="L64" t="s">
        <v>19</v>
      </c>
      <c r="M64" t="s">
        <v>20</v>
      </c>
    </row>
    <row r="65" spans="1:13" x14ac:dyDescent="0.25">
      <c r="A65" t="s">
        <v>168</v>
      </c>
      <c r="B65" t="str">
        <f>TEXT(PharmacyData[[#This Row],[Date2]],"mmm")</f>
        <v>Mar</v>
      </c>
      <c r="C65" t="s">
        <v>169</v>
      </c>
      <c r="D65" t="s">
        <v>31</v>
      </c>
      <c r="E65" t="s">
        <v>32</v>
      </c>
      <c r="F65" t="s">
        <v>33</v>
      </c>
      <c r="G65">
        <v>15</v>
      </c>
      <c r="H65">
        <v>2748</v>
      </c>
      <c r="I65" s="6">
        <v>41220</v>
      </c>
      <c r="J65" t="s">
        <v>42</v>
      </c>
      <c r="K65" t="s">
        <v>18</v>
      </c>
      <c r="L65" t="s">
        <v>28</v>
      </c>
      <c r="M65" t="s">
        <v>20</v>
      </c>
    </row>
    <row r="66" spans="1:13" x14ac:dyDescent="0.25">
      <c r="A66" t="s">
        <v>170</v>
      </c>
      <c r="B66" t="str">
        <f>TEXT(PharmacyData[[#This Row],[Date2]],"mmm")</f>
        <v>Aug</v>
      </c>
      <c r="C66" t="s">
        <v>171</v>
      </c>
      <c r="D66" t="s">
        <v>31</v>
      </c>
      <c r="E66" t="s">
        <v>32</v>
      </c>
      <c r="F66" t="s">
        <v>16</v>
      </c>
      <c r="G66">
        <v>8</v>
      </c>
      <c r="H66">
        <v>3804</v>
      </c>
      <c r="I66" s="6">
        <v>30432</v>
      </c>
      <c r="J66" t="s">
        <v>55</v>
      </c>
      <c r="K66" t="s">
        <v>52</v>
      </c>
      <c r="L66" t="s">
        <v>19</v>
      </c>
      <c r="M66" t="s">
        <v>20</v>
      </c>
    </row>
    <row r="67" spans="1:13" x14ac:dyDescent="0.25">
      <c r="A67" t="s">
        <v>172</v>
      </c>
      <c r="B67" t="str">
        <f>TEXT(PharmacyData[[#This Row],[Date2]],"mmm")</f>
        <v>Dec</v>
      </c>
      <c r="C67" t="s">
        <v>173</v>
      </c>
      <c r="D67" t="s">
        <v>46</v>
      </c>
      <c r="E67" t="s">
        <v>47</v>
      </c>
      <c r="F67" t="s">
        <v>58</v>
      </c>
      <c r="G67">
        <v>5</v>
      </c>
      <c r="H67">
        <v>3537</v>
      </c>
      <c r="I67" s="6">
        <v>17685</v>
      </c>
      <c r="J67" t="s">
        <v>34</v>
      </c>
      <c r="K67" t="s">
        <v>27</v>
      </c>
      <c r="L67" t="s">
        <v>19</v>
      </c>
      <c r="M67" t="s">
        <v>35</v>
      </c>
    </row>
    <row r="68" spans="1:13" x14ac:dyDescent="0.25">
      <c r="A68" t="s">
        <v>174</v>
      </c>
      <c r="B68" t="str">
        <f>TEXT(PharmacyData[[#This Row],[Date2]],"mmm")</f>
        <v>Mar</v>
      </c>
      <c r="C68" t="s">
        <v>175</v>
      </c>
      <c r="D68" t="s">
        <v>14</v>
      </c>
      <c r="E68" t="s">
        <v>15</v>
      </c>
      <c r="F68" t="s">
        <v>25</v>
      </c>
      <c r="G68">
        <v>13</v>
      </c>
      <c r="H68">
        <v>568</v>
      </c>
      <c r="I68" s="6">
        <v>7384</v>
      </c>
      <c r="J68" t="s">
        <v>42</v>
      </c>
      <c r="K68" t="s">
        <v>18</v>
      </c>
      <c r="L68" t="s">
        <v>19</v>
      </c>
      <c r="M68" t="s">
        <v>43</v>
      </c>
    </row>
    <row r="69" spans="1:13" x14ac:dyDescent="0.25">
      <c r="A69" t="s">
        <v>176</v>
      </c>
      <c r="B69" t="str">
        <f>TEXT(PharmacyData[[#This Row],[Date2]],"mmm")</f>
        <v>Feb</v>
      </c>
      <c r="C69" t="s">
        <v>177</v>
      </c>
      <c r="D69" t="s">
        <v>71</v>
      </c>
      <c r="E69" t="s">
        <v>32</v>
      </c>
      <c r="F69" t="s">
        <v>58</v>
      </c>
      <c r="G69">
        <v>10</v>
      </c>
      <c r="H69">
        <v>782</v>
      </c>
      <c r="I69" s="6">
        <v>7820</v>
      </c>
      <c r="J69" t="s">
        <v>34</v>
      </c>
      <c r="K69" t="s">
        <v>18</v>
      </c>
      <c r="L69" t="s">
        <v>28</v>
      </c>
      <c r="M69" t="s">
        <v>35</v>
      </c>
    </row>
    <row r="70" spans="1:13" x14ac:dyDescent="0.25">
      <c r="A70" t="s">
        <v>178</v>
      </c>
      <c r="B70" t="str">
        <f>TEXT(PharmacyData[[#This Row],[Date2]],"mmm")</f>
        <v>Aug</v>
      </c>
      <c r="C70" t="s">
        <v>179</v>
      </c>
      <c r="D70" t="s">
        <v>65</v>
      </c>
      <c r="E70" t="s">
        <v>66</v>
      </c>
      <c r="F70" t="s">
        <v>25</v>
      </c>
      <c r="G70">
        <v>1</v>
      </c>
      <c r="H70">
        <v>3220</v>
      </c>
      <c r="I70" s="6">
        <v>3220</v>
      </c>
      <c r="J70" t="s">
        <v>34</v>
      </c>
      <c r="K70" t="s">
        <v>27</v>
      </c>
      <c r="L70" t="s">
        <v>19</v>
      </c>
      <c r="M70" t="s">
        <v>35</v>
      </c>
    </row>
    <row r="71" spans="1:13" x14ac:dyDescent="0.25">
      <c r="A71" t="s">
        <v>180</v>
      </c>
      <c r="B71" t="str">
        <f>TEXT(PharmacyData[[#This Row],[Date2]],"mmm")</f>
        <v>Jun</v>
      </c>
      <c r="C71" t="s">
        <v>181</v>
      </c>
      <c r="D71" t="s">
        <v>71</v>
      </c>
      <c r="E71" t="s">
        <v>32</v>
      </c>
      <c r="F71" t="s">
        <v>16</v>
      </c>
      <c r="G71">
        <v>13</v>
      </c>
      <c r="H71">
        <v>4671</v>
      </c>
      <c r="I71" s="6">
        <v>60723</v>
      </c>
      <c r="J71" t="s">
        <v>42</v>
      </c>
      <c r="K71" t="s">
        <v>52</v>
      </c>
      <c r="L71" t="s">
        <v>28</v>
      </c>
      <c r="M71" t="s">
        <v>43</v>
      </c>
    </row>
    <row r="72" spans="1:13" x14ac:dyDescent="0.25">
      <c r="A72" t="s">
        <v>182</v>
      </c>
      <c r="B72" t="str">
        <f>TEXT(PharmacyData[[#This Row],[Date2]],"mmm")</f>
        <v>Jun</v>
      </c>
      <c r="C72" t="s">
        <v>183</v>
      </c>
      <c r="D72" t="s">
        <v>31</v>
      </c>
      <c r="E72" t="s">
        <v>32</v>
      </c>
      <c r="F72" t="s">
        <v>58</v>
      </c>
      <c r="G72">
        <v>13</v>
      </c>
      <c r="H72">
        <v>3423</v>
      </c>
      <c r="I72" s="6">
        <v>44499</v>
      </c>
      <c r="J72" t="s">
        <v>26</v>
      </c>
      <c r="K72" t="s">
        <v>52</v>
      </c>
      <c r="L72" t="s">
        <v>19</v>
      </c>
      <c r="M72" t="s">
        <v>43</v>
      </c>
    </row>
    <row r="73" spans="1:13" x14ac:dyDescent="0.25">
      <c r="A73" t="s">
        <v>184</v>
      </c>
      <c r="B73" t="str">
        <f>TEXT(PharmacyData[[#This Row],[Date2]],"mmm")</f>
        <v>Aug</v>
      </c>
      <c r="C73" t="s">
        <v>185</v>
      </c>
      <c r="D73" t="s">
        <v>71</v>
      </c>
      <c r="E73" t="s">
        <v>32</v>
      </c>
      <c r="F73" t="s">
        <v>25</v>
      </c>
      <c r="G73">
        <v>14</v>
      </c>
      <c r="H73">
        <v>1074</v>
      </c>
      <c r="I73" s="6">
        <v>15036</v>
      </c>
      <c r="J73" t="s">
        <v>42</v>
      </c>
      <c r="K73" t="s">
        <v>18</v>
      </c>
      <c r="L73" t="s">
        <v>28</v>
      </c>
      <c r="M73" t="s">
        <v>20</v>
      </c>
    </row>
    <row r="74" spans="1:13" x14ac:dyDescent="0.25">
      <c r="A74" t="s">
        <v>186</v>
      </c>
      <c r="B74" t="str">
        <f>TEXT(PharmacyData[[#This Row],[Date2]],"mmm")</f>
        <v>Mar</v>
      </c>
      <c r="C74" t="s">
        <v>187</v>
      </c>
      <c r="D74" t="s">
        <v>105</v>
      </c>
      <c r="E74" t="s">
        <v>106</v>
      </c>
      <c r="F74" t="s">
        <v>58</v>
      </c>
      <c r="G74">
        <v>8</v>
      </c>
      <c r="H74">
        <v>481</v>
      </c>
      <c r="I74" s="6">
        <v>3848</v>
      </c>
      <c r="J74" t="s">
        <v>17</v>
      </c>
      <c r="K74" t="s">
        <v>27</v>
      </c>
      <c r="L74" t="s">
        <v>19</v>
      </c>
      <c r="M74" t="s">
        <v>35</v>
      </c>
    </row>
    <row r="75" spans="1:13" x14ac:dyDescent="0.25">
      <c r="A75" t="s">
        <v>188</v>
      </c>
      <c r="B75" t="str">
        <f>TEXT(PharmacyData[[#This Row],[Date2]],"mmm")</f>
        <v>Nov</v>
      </c>
      <c r="C75" t="s">
        <v>189</v>
      </c>
      <c r="D75" t="s">
        <v>82</v>
      </c>
      <c r="E75" t="s">
        <v>15</v>
      </c>
      <c r="F75" t="s">
        <v>58</v>
      </c>
      <c r="G75">
        <v>5</v>
      </c>
      <c r="H75">
        <v>2908</v>
      </c>
      <c r="I75" s="6">
        <v>14540</v>
      </c>
      <c r="J75" t="s">
        <v>17</v>
      </c>
      <c r="K75" t="s">
        <v>18</v>
      </c>
      <c r="L75" t="s">
        <v>28</v>
      </c>
      <c r="M75" t="s">
        <v>43</v>
      </c>
    </row>
    <row r="76" spans="1:13" x14ac:dyDescent="0.25">
      <c r="A76" t="s">
        <v>190</v>
      </c>
      <c r="B76" t="str">
        <f>TEXT(PharmacyData[[#This Row],[Date2]],"mmm")</f>
        <v>Jan</v>
      </c>
      <c r="C76" t="s">
        <v>139</v>
      </c>
      <c r="D76" t="s">
        <v>40</v>
      </c>
      <c r="E76" t="s">
        <v>41</v>
      </c>
      <c r="F76" t="s">
        <v>58</v>
      </c>
      <c r="G76">
        <v>9</v>
      </c>
      <c r="H76">
        <v>2607</v>
      </c>
      <c r="I76" s="6">
        <v>23463</v>
      </c>
      <c r="J76" t="s">
        <v>55</v>
      </c>
      <c r="K76" t="s">
        <v>18</v>
      </c>
      <c r="L76" t="s">
        <v>19</v>
      </c>
      <c r="M76" t="s">
        <v>43</v>
      </c>
    </row>
    <row r="77" spans="1:13" x14ac:dyDescent="0.25">
      <c r="A77" t="s">
        <v>191</v>
      </c>
      <c r="B77" t="str">
        <f>TEXT(PharmacyData[[#This Row],[Date2]],"mmm")</f>
        <v>Sep</v>
      </c>
      <c r="C77" t="s">
        <v>77</v>
      </c>
      <c r="D77" t="s">
        <v>40</v>
      </c>
      <c r="E77" t="s">
        <v>41</v>
      </c>
      <c r="F77" t="s">
        <v>58</v>
      </c>
      <c r="G77">
        <v>7</v>
      </c>
      <c r="H77">
        <v>4708</v>
      </c>
      <c r="I77" s="6">
        <v>32956</v>
      </c>
      <c r="J77" t="s">
        <v>17</v>
      </c>
      <c r="K77" t="s">
        <v>18</v>
      </c>
      <c r="L77" t="s">
        <v>28</v>
      </c>
      <c r="M77" t="s">
        <v>20</v>
      </c>
    </row>
    <row r="78" spans="1:13" x14ac:dyDescent="0.25">
      <c r="A78" t="s">
        <v>192</v>
      </c>
      <c r="B78" t="str">
        <f>TEXT(PharmacyData[[#This Row],[Date2]],"mmm")</f>
        <v>Jul</v>
      </c>
      <c r="C78" t="s">
        <v>193</v>
      </c>
      <c r="D78" t="s">
        <v>82</v>
      </c>
      <c r="E78" t="s">
        <v>15</v>
      </c>
      <c r="F78" t="s">
        <v>58</v>
      </c>
      <c r="G78">
        <v>7</v>
      </c>
      <c r="H78">
        <v>418</v>
      </c>
      <c r="I78" s="6">
        <v>2926</v>
      </c>
      <c r="J78" t="s">
        <v>55</v>
      </c>
      <c r="K78" t="s">
        <v>18</v>
      </c>
      <c r="L78" t="s">
        <v>19</v>
      </c>
      <c r="M78" t="s">
        <v>35</v>
      </c>
    </row>
    <row r="79" spans="1:13" x14ac:dyDescent="0.25">
      <c r="A79" t="s">
        <v>194</v>
      </c>
      <c r="B79" t="str">
        <f>TEXT(PharmacyData[[#This Row],[Date2]],"mmm")</f>
        <v>Aug</v>
      </c>
      <c r="C79" t="s">
        <v>195</v>
      </c>
      <c r="D79" t="s">
        <v>46</v>
      </c>
      <c r="E79" t="s">
        <v>47</v>
      </c>
      <c r="F79" t="s">
        <v>25</v>
      </c>
      <c r="G79">
        <v>8</v>
      </c>
      <c r="H79">
        <v>4092</v>
      </c>
      <c r="I79" s="6">
        <v>32736</v>
      </c>
      <c r="J79" t="s">
        <v>26</v>
      </c>
      <c r="K79" t="s">
        <v>27</v>
      </c>
      <c r="L79" t="s">
        <v>28</v>
      </c>
      <c r="M79" t="s">
        <v>35</v>
      </c>
    </row>
    <row r="80" spans="1:13" x14ac:dyDescent="0.25">
      <c r="A80" t="s">
        <v>196</v>
      </c>
      <c r="B80" t="str">
        <f>TEXT(PharmacyData[[#This Row],[Date2]],"mmm")</f>
        <v>Sep</v>
      </c>
      <c r="C80" t="s">
        <v>197</v>
      </c>
      <c r="D80" t="s">
        <v>71</v>
      </c>
      <c r="E80" t="s">
        <v>32</v>
      </c>
      <c r="F80" t="s">
        <v>33</v>
      </c>
      <c r="G80">
        <v>2</v>
      </c>
      <c r="H80">
        <v>1482</v>
      </c>
      <c r="I80" s="6">
        <v>2964</v>
      </c>
      <c r="J80" t="s">
        <v>34</v>
      </c>
      <c r="K80" t="s">
        <v>52</v>
      </c>
      <c r="L80" t="s">
        <v>19</v>
      </c>
      <c r="M80" t="s">
        <v>35</v>
      </c>
    </row>
    <row r="81" spans="1:13" x14ac:dyDescent="0.25">
      <c r="A81" t="s">
        <v>198</v>
      </c>
      <c r="B81" t="str">
        <f>TEXT(PharmacyData[[#This Row],[Date2]],"mmm")</f>
        <v>Dec</v>
      </c>
      <c r="C81" t="s">
        <v>199</v>
      </c>
      <c r="D81" t="s">
        <v>71</v>
      </c>
      <c r="E81" t="s">
        <v>32</v>
      </c>
      <c r="F81" t="s">
        <v>25</v>
      </c>
      <c r="G81">
        <v>7</v>
      </c>
      <c r="H81">
        <v>981</v>
      </c>
      <c r="I81" s="6">
        <v>6867</v>
      </c>
      <c r="J81" t="s">
        <v>17</v>
      </c>
      <c r="K81" t="s">
        <v>27</v>
      </c>
      <c r="L81" t="s">
        <v>28</v>
      </c>
      <c r="M81" t="s">
        <v>35</v>
      </c>
    </row>
    <row r="82" spans="1:13" x14ac:dyDescent="0.25">
      <c r="A82" t="s">
        <v>200</v>
      </c>
      <c r="B82" t="str">
        <f>TEXT(PharmacyData[[#This Row],[Date2]],"mmm")</f>
        <v>Aug</v>
      </c>
      <c r="C82" t="s">
        <v>201</v>
      </c>
      <c r="D82" t="s">
        <v>23</v>
      </c>
      <c r="E82" t="s">
        <v>24</v>
      </c>
      <c r="F82" t="s">
        <v>58</v>
      </c>
      <c r="G82">
        <v>5</v>
      </c>
      <c r="H82">
        <v>4920</v>
      </c>
      <c r="I82" s="6">
        <v>24600</v>
      </c>
      <c r="J82" t="s">
        <v>26</v>
      </c>
      <c r="K82" t="s">
        <v>27</v>
      </c>
      <c r="L82" t="s">
        <v>28</v>
      </c>
      <c r="M82" t="s">
        <v>43</v>
      </c>
    </row>
    <row r="83" spans="1:13" x14ac:dyDescent="0.25">
      <c r="A83" t="s">
        <v>202</v>
      </c>
      <c r="B83" t="str">
        <f>TEXT(PharmacyData[[#This Row],[Date2]],"mmm")</f>
        <v>Nov</v>
      </c>
      <c r="C83" t="s">
        <v>203</v>
      </c>
      <c r="D83" t="s">
        <v>82</v>
      </c>
      <c r="E83" t="s">
        <v>15</v>
      </c>
      <c r="F83" t="s">
        <v>16</v>
      </c>
      <c r="G83">
        <v>12</v>
      </c>
      <c r="H83">
        <v>424</v>
      </c>
      <c r="I83" s="6">
        <v>5088</v>
      </c>
      <c r="J83" t="s">
        <v>17</v>
      </c>
      <c r="K83" t="s">
        <v>52</v>
      </c>
      <c r="L83" t="s">
        <v>28</v>
      </c>
      <c r="M83" t="s">
        <v>20</v>
      </c>
    </row>
    <row r="84" spans="1:13" x14ac:dyDescent="0.25">
      <c r="A84" t="s">
        <v>204</v>
      </c>
      <c r="B84" t="str">
        <f>TEXT(PharmacyData[[#This Row],[Date2]],"mmm")</f>
        <v>May</v>
      </c>
      <c r="C84" t="s">
        <v>205</v>
      </c>
      <c r="D84" t="s">
        <v>14</v>
      </c>
      <c r="E84" t="s">
        <v>15</v>
      </c>
      <c r="F84" t="s">
        <v>16</v>
      </c>
      <c r="G84">
        <v>3</v>
      </c>
      <c r="H84">
        <v>1579</v>
      </c>
      <c r="I84" s="6">
        <v>4737</v>
      </c>
      <c r="J84" t="s">
        <v>26</v>
      </c>
      <c r="K84" t="s">
        <v>52</v>
      </c>
      <c r="L84" t="s">
        <v>28</v>
      </c>
      <c r="M84" t="s">
        <v>43</v>
      </c>
    </row>
    <row r="85" spans="1:13" x14ac:dyDescent="0.25">
      <c r="A85" t="s">
        <v>206</v>
      </c>
      <c r="B85" t="str">
        <f>TEXT(PharmacyData[[#This Row],[Date2]],"mmm")</f>
        <v>Oct</v>
      </c>
      <c r="C85" t="s">
        <v>207</v>
      </c>
      <c r="D85" t="s">
        <v>46</v>
      </c>
      <c r="E85" t="s">
        <v>47</v>
      </c>
      <c r="F85" t="s">
        <v>33</v>
      </c>
      <c r="G85">
        <v>6</v>
      </c>
      <c r="H85">
        <v>1081</v>
      </c>
      <c r="I85" s="6">
        <v>6486</v>
      </c>
      <c r="J85" t="s">
        <v>17</v>
      </c>
      <c r="K85" t="s">
        <v>27</v>
      </c>
      <c r="L85" t="s">
        <v>28</v>
      </c>
      <c r="M85" t="s">
        <v>43</v>
      </c>
    </row>
    <row r="86" spans="1:13" x14ac:dyDescent="0.25">
      <c r="A86" t="s">
        <v>208</v>
      </c>
      <c r="B86" t="str">
        <f>TEXT(PharmacyData[[#This Row],[Date2]],"mmm")</f>
        <v>Apr</v>
      </c>
      <c r="C86" t="s">
        <v>209</v>
      </c>
      <c r="D86" t="s">
        <v>46</v>
      </c>
      <c r="E86" t="s">
        <v>47</v>
      </c>
      <c r="F86" t="s">
        <v>16</v>
      </c>
      <c r="G86">
        <v>7</v>
      </c>
      <c r="H86">
        <v>630</v>
      </c>
      <c r="I86" s="6">
        <v>4410</v>
      </c>
      <c r="J86" t="s">
        <v>17</v>
      </c>
      <c r="K86" t="s">
        <v>27</v>
      </c>
      <c r="L86" t="s">
        <v>28</v>
      </c>
      <c r="M86" t="s">
        <v>20</v>
      </c>
    </row>
    <row r="87" spans="1:13" x14ac:dyDescent="0.25">
      <c r="A87" t="s">
        <v>210</v>
      </c>
      <c r="B87" t="str">
        <f>TEXT(PharmacyData[[#This Row],[Date2]],"mmm")</f>
        <v>Aug</v>
      </c>
      <c r="C87" t="s">
        <v>211</v>
      </c>
      <c r="D87" t="s">
        <v>14</v>
      </c>
      <c r="E87" t="s">
        <v>15</v>
      </c>
      <c r="F87" t="s">
        <v>25</v>
      </c>
      <c r="G87">
        <v>14</v>
      </c>
      <c r="H87">
        <v>880</v>
      </c>
      <c r="I87" s="6">
        <v>12320</v>
      </c>
      <c r="J87" t="s">
        <v>17</v>
      </c>
      <c r="K87" t="s">
        <v>52</v>
      </c>
      <c r="L87" t="s">
        <v>28</v>
      </c>
      <c r="M87" t="s">
        <v>43</v>
      </c>
    </row>
    <row r="88" spans="1:13" x14ac:dyDescent="0.25">
      <c r="A88" t="s">
        <v>212</v>
      </c>
      <c r="B88" t="str">
        <f>TEXT(PharmacyData[[#This Row],[Date2]],"mmm")</f>
        <v>Dec</v>
      </c>
      <c r="C88" t="s">
        <v>75</v>
      </c>
      <c r="D88" t="s">
        <v>23</v>
      </c>
      <c r="E88" t="s">
        <v>24</v>
      </c>
      <c r="F88" t="s">
        <v>16</v>
      </c>
      <c r="G88">
        <v>11</v>
      </c>
      <c r="H88">
        <v>4097</v>
      </c>
      <c r="I88" s="6">
        <v>45067</v>
      </c>
      <c r="J88" t="s">
        <v>34</v>
      </c>
      <c r="K88" t="s">
        <v>52</v>
      </c>
      <c r="L88" t="s">
        <v>28</v>
      </c>
      <c r="M88" t="s">
        <v>20</v>
      </c>
    </row>
    <row r="89" spans="1:13" x14ac:dyDescent="0.25">
      <c r="A89" t="s">
        <v>213</v>
      </c>
      <c r="B89" t="str">
        <f>TEXT(PharmacyData[[#This Row],[Date2]],"mmm")</f>
        <v>Dec</v>
      </c>
      <c r="C89" t="s">
        <v>214</v>
      </c>
      <c r="D89" t="s">
        <v>65</v>
      </c>
      <c r="E89" t="s">
        <v>66</v>
      </c>
      <c r="F89" t="s">
        <v>16</v>
      </c>
      <c r="G89">
        <v>15</v>
      </c>
      <c r="H89">
        <v>1402</v>
      </c>
      <c r="I89" s="6">
        <v>21030</v>
      </c>
      <c r="J89" t="s">
        <v>26</v>
      </c>
      <c r="K89" t="s">
        <v>18</v>
      </c>
      <c r="L89" t="s">
        <v>28</v>
      </c>
      <c r="M89" t="s">
        <v>43</v>
      </c>
    </row>
    <row r="90" spans="1:13" x14ac:dyDescent="0.25">
      <c r="A90" t="s">
        <v>215</v>
      </c>
      <c r="B90" t="str">
        <f>TEXT(PharmacyData[[#This Row],[Date2]],"mmm")</f>
        <v>Aug</v>
      </c>
      <c r="C90" t="s">
        <v>216</v>
      </c>
      <c r="D90" t="s">
        <v>71</v>
      </c>
      <c r="E90" t="s">
        <v>32</v>
      </c>
      <c r="F90" t="s">
        <v>33</v>
      </c>
      <c r="G90">
        <v>2</v>
      </c>
      <c r="H90">
        <v>484</v>
      </c>
      <c r="I90" s="6">
        <v>968</v>
      </c>
      <c r="J90" t="s">
        <v>26</v>
      </c>
      <c r="K90" t="s">
        <v>27</v>
      </c>
      <c r="L90" t="s">
        <v>19</v>
      </c>
      <c r="M90" t="s">
        <v>35</v>
      </c>
    </row>
    <row r="91" spans="1:13" x14ac:dyDescent="0.25">
      <c r="A91" t="s">
        <v>217</v>
      </c>
      <c r="B91" t="str">
        <f>TEXT(PharmacyData[[#This Row],[Date2]],"mmm")</f>
        <v>May</v>
      </c>
      <c r="C91" t="s">
        <v>218</v>
      </c>
      <c r="D91" t="s">
        <v>31</v>
      </c>
      <c r="E91" t="s">
        <v>32</v>
      </c>
      <c r="F91" t="s">
        <v>25</v>
      </c>
      <c r="G91">
        <v>1</v>
      </c>
      <c r="H91">
        <v>4212</v>
      </c>
      <c r="I91" s="6">
        <v>4212</v>
      </c>
      <c r="J91" t="s">
        <v>34</v>
      </c>
      <c r="K91" t="s">
        <v>52</v>
      </c>
      <c r="L91" t="s">
        <v>28</v>
      </c>
      <c r="M91" t="s">
        <v>35</v>
      </c>
    </row>
    <row r="92" spans="1:13" x14ac:dyDescent="0.25">
      <c r="A92" t="s">
        <v>219</v>
      </c>
      <c r="B92" t="str">
        <f>TEXT(PharmacyData[[#This Row],[Date2]],"mmm")</f>
        <v>Feb</v>
      </c>
      <c r="C92" t="s">
        <v>114</v>
      </c>
      <c r="D92" t="s">
        <v>31</v>
      </c>
      <c r="E92" t="s">
        <v>32</v>
      </c>
      <c r="F92" t="s">
        <v>16</v>
      </c>
      <c r="G92">
        <v>5</v>
      </c>
      <c r="H92">
        <v>2579</v>
      </c>
      <c r="I92" s="6">
        <v>12895</v>
      </c>
      <c r="J92" t="s">
        <v>26</v>
      </c>
      <c r="K92" t="s">
        <v>52</v>
      </c>
      <c r="L92" t="s">
        <v>19</v>
      </c>
      <c r="M92" t="s">
        <v>43</v>
      </c>
    </row>
    <row r="93" spans="1:13" x14ac:dyDescent="0.25">
      <c r="A93" t="s">
        <v>220</v>
      </c>
      <c r="B93" t="str">
        <f>TEXT(PharmacyData[[#This Row],[Date2]],"mmm")</f>
        <v>Apr</v>
      </c>
      <c r="C93" t="s">
        <v>221</v>
      </c>
      <c r="D93" t="s">
        <v>105</v>
      </c>
      <c r="E93" t="s">
        <v>106</v>
      </c>
      <c r="F93" t="s">
        <v>25</v>
      </c>
      <c r="G93">
        <v>1</v>
      </c>
      <c r="H93">
        <v>1672</v>
      </c>
      <c r="I93" s="6">
        <v>1672</v>
      </c>
      <c r="J93" t="s">
        <v>55</v>
      </c>
      <c r="K93" t="s">
        <v>52</v>
      </c>
      <c r="L93" t="s">
        <v>28</v>
      </c>
      <c r="M93" t="s">
        <v>20</v>
      </c>
    </row>
    <row r="94" spans="1:13" x14ac:dyDescent="0.25">
      <c r="A94" t="s">
        <v>222</v>
      </c>
      <c r="B94" t="str">
        <f>TEXT(PharmacyData[[#This Row],[Date2]],"mmm")</f>
        <v>Aug</v>
      </c>
      <c r="C94" t="s">
        <v>223</v>
      </c>
      <c r="D94" t="s">
        <v>105</v>
      </c>
      <c r="E94" t="s">
        <v>106</v>
      </c>
      <c r="F94" t="s">
        <v>16</v>
      </c>
      <c r="G94">
        <v>2</v>
      </c>
      <c r="H94">
        <v>2088</v>
      </c>
      <c r="I94" s="6">
        <v>4176</v>
      </c>
      <c r="J94" t="s">
        <v>55</v>
      </c>
      <c r="K94" t="s">
        <v>27</v>
      </c>
      <c r="L94" t="s">
        <v>19</v>
      </c>
      <c r="M94" t="s">
        <v>20</v>
      </c>
    </row>
    <row r="95" spans="1:13" x14ac:dyDescent="0.25">
      <c r="A95" t="s">
        <v>224</v>
      </c>
      <c r="B95" t="str">
        <f>TEXT(PharmacyData[[#This Row],[Date2]],"mmm")</f>
        <v>Dec</v>
      </c>
      <c r="C95" t="s">
        <v>225</v>
      </c>
      <c r="D95" t="s">
        <v>31</v>
      </c>
      <c r="E95" t="s">
        <v>32</v>
      </c>
      <c r="F95" t="s">
        <v>58</v>
      </c>
      <c r="G95">
        <v>1</v>
      </c>
      <c r="H95">
        <v>1449</v>
      </c>
      <c r="I95" s="6">
        <v>1449</v>
      </c>
      <c r="J95" t="s">
        <v>42</v>
      </c>
      <c r="K95" t="s">
        <v>18</v>
      </c>
      <c r="L95" t="s">
        <v>28</v>
      </c>
      <c r="M95" t="s">
        <v>43</v>
      </c>
    </row>
    <row r="96" spans="1:13" x14ac:dyDescent="0.25">
      <c r="A96" t="s">
        <v>226</v>
      </c>
      <c r="B96" t="str">
        <f>TEXT(PharmacyData[[#This Row],[Date2]],"mmm")</f>
        <v>Jan</v>
      </c>
      <c r="C96" t="s">
        <v>81</v>
      </c>
      <c r="D96" t="s">
        <v>105</v>
      </c>
      <c r="E96" t="s">
        <v>106</v>
      </c>
      <c r="F96" t="s">
        <v>25</v>
      </c>
      <c r="G96">
        <v>14</v>
      </c>
      <c r="H96">
        <v>1712</v>
      </c>
      <c r="I96" s="6">
        <v>23968</v>
      </c>
      <c r="J96" t="s">
        <v>26</v>
      </c>
      <c r="K96" t="s">
        <v>27</v>
      </c>
      <c r="L96" t="s">
        <v>19</v>
      </c>
      <c r="M96" t="s">
        <v>20</v>
      </c>
    </row>
    <row r="97" spans="1:13" x14ac:dyDescent="0.25">
      <c r="A97" t="s">
        <v>227</v>
      </c>
      <c r="B97" t="str">
        <f>TEXT(PharmacyData[[#This Row],[Date2]],"mmm")</f>
        <v>Oct</v>
      </c>
      <c r="C97" t="s">
        <v>228</v>
      </c>
      <c r="D97" t="s">
        <v>23</v>
      </c>
      <c r="E97" t="s">
        <v>24</v>
      </c>
      <c r="F97" t="s">
        <v>33</v>
      </c>
      <c r="G97">
        <v>9</v>
      </c>
      <c r="H97">
        <v>4573</v>
      </c>
      <c r="I97" s="6">
        <v>41157</v>
      </c>
      <c r="J97" t="s">
        <v>34</v>
      </c>
      <c r="K97" t="s">
        <v>27</v>
      </c>
      <c r="L97" t="s">
        <v>28</v>
      </c>
      <c r="M97" t="s">
        <v>35</v>
      </c>
    </row>
    <row r="98" spans="1:13" x14ac:dyDescent="0.25">
      <c r="A98" t="s">
        <v>229</v>
      </c>
      <c r="B98" t="str">
        <f>TEXT(PharmacyData[[#This Row],[Date2]],"mmm")</f>
        <v>Jun</v>
      </c>
      <c r="C98" t="s">
        <v>230</v>
      </c>
      <c r="D98" t="s">
        <v>65</v>
      </c>
      <c r="E98" t="s">
        <v>66</v>
      </c>
      <c r="F98" t="s">
        <v>16</v>
      </c>
      <c r="G98">
        <v>8</v>
      </c>
      <c r="H98">
        <v>1239</v>
      </c>
      <c r="I98" s="6">
        <v>9912</v>
      </c>
      <c r="J98" t="s">
        <v>34</v>
      </c>
      <c r="K98" t="s">
        <v>52</v>
      </c>
      <c r="L98" t="s">
        <v>19</v>
      </c>
      <c r="M98" t="s">
        <v>43</v>
      </c>
    </row>
    <row r="99" spans="1:13" x14ac:dyDescent="0.25">
      <c r="A99" t="s">
        <v>231</v>
      </c>
      <c r="B99" t="str">
        <f>TEXT(PharmacyData[[#This Row],[Date2]],"mmm")</f>
        <v>Dec</v>
      </c>
      <c r="C99" t="s">
        <v>98</v>
      </c>
      <c r="D99" t="s">
        <v>82</v>
      </c>
      <c r="E99" t="s">
        <v>15</v>
      </c>
      <c r="F99" t="s">
        <v>16</v>
      </c>
      <c r="G99">
        <v>7</v>
      </c>
      <c r="H99">
        <v>4282</v>
      </c>
      <c r="I99" s="6">
        <v>29974</v>
      </c>
      <c r="J99" t="s">
        <v>55</v>
      </c>
      <c r="K99" t="s">
        <v>18</v>
      </c>
      <c r="L99" t="s">
        <v>19</v>
      </c>
      <c r="M99" t="s">
        <v>43</v>
      </c>
    </row>
    <row r="100" spans="1:13" x14ac:dyDescent="0.25">
      <c r="A100" t="s">
        <v>232</v>
      </c>
      <c r="B100" t="str">
        <f>TEXT(PharmacyData[[#This Row],[Date2]],"mmm")</f>
        <v>Apr</v>
      </c>
      <c r="C100" t="s">
        <v>233</v>
      </c>
      <c r="D100" t="s">
        <v>105</v>
      </c>
      <c r="E100" t="s">
        <v>106</v>
      </c>
      <c r="F100" t="s">
        <v>16</v>
      </c>
      <c r="G100">
        <v>3</v>
      </c>
      <c r="H100">
        <v>3703</v>
      </c>
      <c r="I100" s="6">
        <v>11109</v>
      </c>
      <c r="J100" t="s">
        <v>17</v>
      </c>
      <c r="K100" t="s">
        <v>18</v>
      </c>
      <c r="L100" t="s">
        <v>19</v>
      </c>
      <c r="M100" t="s">
        <v>43</v>
      </c>
    </row>
    <row r="101" spans="1:13" x14ac:dyDescent="0.25">
      <c r="A101" t="s">
        <v>234</v>
      </c>
      <c r="B101" t="str">
        <f>TEXT(PharmacyData[[#This Row],[Date2]],"mmm")</f>
        <v>Jul</v>
      </c>
      <c r="C101" t="s">
        <v>235</v>
      </c>
      <c r="D101" t="s">
        <v>71</v>
      </c>
      <c r="E101" t="s">
        <v>32</v>
      </c>
      <c r="F101" t="s">
        <v>58</v>
      </c>
      <c r="G101">
        <v>1</v>
      </c>
      <c r="H101">
        <v>4537</v>
      </c>
      <c r="I101" s="6">
        <v>4537</v>
      </c>
      <c r="J101" t="s">
        <v>42</v>
      </c>
      <c r="K101" t="s">
        <v>18</v>
      </c>
      <c r="L101" t="s">
        <v>19</v>
      </c>
      <c r="M101" t="s">
        <v>20</v>
      </c>
    </row>
    <row r="102" spans="1:13" x14ac:dyDescent="0.25">
      <c r="A102" t="s">
        <v>236</v>
      </c>
      <c r="B102" t="str">
        <f>TEXT(PharmacyData[[#This Row],[Date2]],"mmm")</f>
        <v>Apr</v>
      </c>
      <c r="C102" t="s">
        <v>73</v>
      </c>
      <c r="D102" t="s">
        <v>65</v>
      </c>
      <c r="E102" t="s">
        <v>66</v>
      </c>
      <c r="F102" t="s">
        <v>16</v>
      </c>
      <c r="G102">
        <v>10</v>
      </c>
      <c r="H102">
        <v>4212</v>
      </c>
      <c r="I102" s="6">
        <v>42120</v>
      </c>
      <c r="J102" t="s">
        <v>55</v>
      </c>
      <c r="K102" t="s">
        <v>18</v>
      </c>
      <c r="L102" t="s">
        <v>28</v>
      </c>
      <c r="M102" t="s">
        <v>35</v>
      </c>
    </row>
    <row r="103" spans="1:13" x14ac:dyDescent="0.25">
      <c r="A103" t="s">
        <v>237</v>
      </c>
      <c r="B103" t="str">
        <f>TEXT(PharmacyData[[#This Row],[Date2]],"mmm")</f>
        <v>Dec</v>
      </c>
      <c r="C103" t="s">
        <v>75</v>
      </c>
      <c r="D103" t="s">
        <v>23</v>
      </c>
      <c r="E103" t="s">
        <v>24</v>
      </c>
      <c r="F103" t="s">
        <v>16</v>
      </c>
      <c r="G103">
        <v>12</v>
      </c>
      <c r="H103">
        <v>1015</v>
      </c>
      <c r="I103" s="6">
        <v>12180</v>
      </c>
      <c r="J103" t="s">
        <v>17</v>
      </c>
      <c r="K103" t="s">
        <v>27</v>
      </c>
      <c r="L103" t="s">
        <v>19</v>
      </c>
      <c r="M103" t="s">
        <v>43</v>
      </c>
    </row>
    <row r="104" spans="1:13" x14ac:dyDescent="0.25">
      <c r="A104" t="s">
        <v>238</v>
      </c>
      <c r="B104" t="str">
        <f>TEXT(PharmacyData[[#This Row],[Date2]],"mmm")</f>
        <v>Jan</v>
      </c>
      <c r="C104" t="s">
        <v>239</v>
      </c>
      <c r="D104" t="s">
        <v>71</v>
      </c>
      <c r="E104" t="s">
        <v>32</v>
      </c>
      <c r="F104" t="s">
        <v>58</v>
      </c>
      <c r="G104">
        <v>7</v>
      </c>
      <c r="H104">
        <v>3442</v>
      </c>
      <c r="I104" s="6">
        <v>24094</v>
      </c>
      <c r="J104" t="s">
        <v>42</v>
      </c>
      <c r="K104" t="s">
        <v>18</v>
      </c>
      <c r="L104" t="s">
        <v>19</v>
      </c>
      <c r="M104" t="s">
        <v>35</v>
      </c>
    </row>
    <row r="105" spans="1:13" x14ac:dyDescent="0.25">
      <c r="A105" t="s">
        <v>240</v>
      </c>
      <c r="B105" t="str">
        <f>TEXT(PharmacyData[[#This Row],[Date2]],"mmm")</f>
        <v>Mar</v>
      </c>
      <c r="C105" t="s">
        <v>137</v>
      </c>
      <c r="D105" t="s">
        <v>40</v>
      </c>
      <c r="E105" t="s">
        <v>41</v>
      </c>
      <c r="F105" t="s">
        <v>33</v>
      </c>
      <c r="G105">
        <v>9</v>
      </c>
      <c r="H105">
        <v>1274</v>
      </c>
      <c r="I105" s="6">
        <v>11466</v>
      </c>
      <c r="J105" t="s">
        <v>26</v>
      </c>
      <c r="K105" t="s">
        <v>52</v>
      </c>
      <c r="L105" t="s">
        <v>28</v>
      </c>
      <c r="M105" t="s">
        <v>35</v>
      </c>
    </row>
    <row r="106" spans="1:13" x14ac:dyDescent="0.25">
      <c r="A106" t="s">
        <v>241</v>
      </c>
      <c r="B106" t="str">
        <f>TEXT(PharmacyData[[#This Row],[Date2]],"mmm")</f>
        <v>Aug</v>
      </c>
      <c r="C106" t="s">
        <v>242</v>
      </c>
      <c r="D106" t="s">
        <v>105</v>
      </c>
      <c r="E106" t="s">
        <v>106</v>
      </c>
      <c r="F106" t="s">
        <v>25</v>
      </c>
      <c r="G106">
        <v>12</v>
      </c>
      <c r="H106">
        <v>906</v>
      </c>
      <c r="I106" s="6">
        <v>10872</v>
      </c>
      <c r="J106" t="s">
        <v>55</v>
      </c>
      <c r="K106" t="s">
        <v>52</v>
      </c>
      <c r="L106" t="s">
        <v>19</v>
      </c>
      <c r="M106" t="s">
        <v>43</v>
      </c>
    </row>
    <row r="107" spans="1:13" x14ac:dyDescent="0.25">
      <c r="A107" t="s">
        <v>243</v>
      </c>
      <c r="B107" t="str">
        <f>TEXT(PharmacyData[[#This Row],[Date2]],"mmm")</f>
        <v>Jul</v>
      </c>
      <c r="C107" t="s">
        <v>244</v>
      </c>
      <c r="D107" t="s">
        <v>82</v>
      </c>
      <c r="E107" t="s">
        <v>15</v>
      </c>
      <c r="F107" t="s">
        <v>16</v>
      </c>
      <c r="G107">
        <v>6</v>
      </c>
      <c r="H107">
        <v>2088</v>
      </c>
      <c r="I107" s="6">
        <v>12528</v>
      </c>
      <c r="J107" t="s">
        <v>34</v>
      </c>
      <c r="K107" t="s">
        <v>18</v>
      </c>
      <c r="L107" t="s">
        <v>19</v>
      </c>
      <c r="M107" t="s">
        <v>43</v>
      </c>
    </row>
    <row r="108" spans="1:13" x14ac:dyDescent="0.25">
      <c r="A108" t="s">
        <v>245</v>
      </c>
      <c r="B108" t="str">
        <f>TEXT(PharmacyData[[#This Row],[Date2]],"mmm")</f>
        <v>Jan</v>
      </c>
      <c r="C108" t="s">
        <v>246</v>
      </c>
      <c r="D108" t="s">
        <v>23</v>
      </c>
      <c r="E108" t="s">
        <v>24</v>
      </c>
      <c r="F108" t="s">
        <v>25</v>
      </c>
      <c r="G108">
        <v>13</v>
      </c>
      <c r="H108">
        <v>585</v>
      </c>
      <c r="I108" s="6">
        <v>7605</v>
      </c>
      <c r="J108" t="s">
        <v>26</v>
      </c>
      <c r="K108" t="s">
        <v>52</v>
      </c>
      <c r="L108" t="s">
        <v>28</v>
      </c>
      <c r="M108" t="s">
        <v>20</v>
      </c>
    </row>
    <row r="109" spans="1:13" x14ac:dyDescent="0.25">
      <c r="A109" t="s">
        <v>247</v>
      </c>
      <c r="B109" t="str">
        <f>TEXT(PharmacyData[[#This Row],[Date2]],"mmm")</f>
        <v>Nov</v>
      </c>
      <c r="C109" t="s">
        <v>248</v>
      </c>
      <c r="D109" t="s">
        <v>65</v>
      </c>
      <c r="E109" t="s">
        <v>66</v>
      </c>
      <c r="F109" t="s">
        <v>16</v>
      </c>
      <c r="G109">
        <v>7</v>
      </c>
      <c r="H109">
        <v>3266</v>
      </c>
      <c r="I109" s="6">
        <v>22862</v>
      </c>
      <c r="J109" t="s">
        <v>17</v>
      </c>
      <c r="K109" t="s">
        <v>18</v>
      </c>
      <c r="L109" t="s">
        <v>28</v>
      </c>
      <c r="M109" t="s">
        <v>43</v>
      </c>
    </row>
    <row r="110" spans="1:13" x14ac:dyDescent="0.25">
      <c r="A110" t="s">
        <v>249</v>
      </c>
      <c r="B110" t="str">
        <f>TEXT(PharmacyData[[#This Row],[Date2]],"mmm")</f>
        <v>Jun</v>
      </c>
      <c r="C110" t="s">
        <v>150</v>
      </c>
      <c r="D110" t="s">
        <v>40</v>
      </c>
      <c r="E110" t="s">
        <v>41</v>
      </c>
      <c r="F110" t="s">
        <v>16</v>
      </c>
      <c r="G110">
        <v>4</v>
      </c>
      <c r="H110">
        <v>2771</v>
      </c>
      <c r="I110" s="6">
        <v>11084</v>
      </c>
      <c r="J110" t="s">
        <v>34</v>
      </c>
      <c r="K110" t="s">
        <v>18</v>
      </c>
      <c r="L110" t="s">
        <v>28</v>
      </c>
      <c r="M110" t="s">
        <v>20</v>
      </c>
    </row>
    <row r="111" spans="1:13" x14ac:dyDescent="0.25">
      <c r="A111" t="s">
        <v>250</v>
      </c>
      <c r="B111" t="str">
        <f>TEXT(PharmacyData[[#This Row],[Date2]],"mmm")</f>
        <v>Sep</v>
      </c>
      <c r="C111" t="s">
        <v>251</v>
      </c>
      <c r="D111" t="s">
        <v>82</v>
      </c>
      <c r="E111" t="s">
        <v>15</v>
      </c>
      <c r="F111" t="s">
        <v>33</v>
      </c>
      <c r="G111">
        <v>7</v>
      </c>
      <c r="H111">
        <v>2483</v>
      </c>
      <c r="I111" s="6">
        <v>17381</v>
      </c>
      <c r="J111" t="s">
        <v>17</v>
      </c>
      <c r="K111" t="s">
        <v>18</v>
      </c>
      <c r="L111" t="s">
        <v>28</v>
      </c>
      <c r="M111" t="s">
        <v>35</v>
      </c>
    </row>
    <row r="112" spans="1:13" x14ac:dyDescent="0.25">
      <c r="A112" t="s">
        <v>252</v>
      </c>
      <c r="B112" t="str">
        <f>TEXT(PharmacyData[[#This Row],[Date2]],"mmm")</f>
        <v>Jul</v>
      </c>
      <c r="C112" t="s">
        <v>253</v>
      </c>
      <c r="D112" t="s">
        <v>71</v>
      </c>
      <c r="E112" t="s">
        <v>32</v>
      </c>
      <c r="F112" t="s">
        <v>58</v>
      </c>
      <c r="G112">
        <v>4</v>
      </c>
      <c r="H112">
        <v>4657</v>
      </c>
      <c r="I112" s="6">
        <v>18628</v>
      </c>
      <c r="J112" t="s">
        <v>55</v>
      </c>
      <c r="K112" t="s">
        <v>27</v>
      </c>
      <c r="L112" t="s">
        <v>19</v>
      </c>
      <c r="M112" t="s">
        <v>20</v>
      </c>
    </row>
    <row r="113" spans="1:13" x14ac:dyDescent="0.25">
      <c r="A113" t="s">
        <v>254</v>
      </c>
      <c r="B113" t="str">
        <f>TEXT(PharmacyData[[#This Row],[Date2]],"mmm")</f>
        <v>Mar</v>
      </c>
      <c r="C113" t="s">
        <v>175</v>
      </c>
      <c r="D113" t="s">
        <v>105</v>
      </c>
      <c r="E113" t="s">
        <v>106</v>
      </c>
      <c r="F113" t="s">
        <v>25</v>
      </c>
      <c r="G113">
        <v>1</v>
      </c>
      <c r="H113">
        <v>1965</v>
      </c>
      <c r="I113" s="6">
        <v>1965</v>
      </c>
      <c r="J113" t="s">
        <v>17</v>
      </c>
      <c r="K113" t="s">
        <v>52</v>
      </c>
      <c r="L113" t="s">
        <v>19</v>
      </c>
      <c r="M113" t="s">
        <v>20</v>
      </c>
    </row>
    <row r="114" spans="1:13" x14ac:dyDescent="0.25">
      <c r="A114" t="s">
        <v>255</v>
      </c>
      <c r="B114" t="str">
        <f>TEXT(PharmacyData[[#This Row],[Date2]],"mmm")</f>
        <v>Oct</v>
      </c>
      <c r="C114" t="s">
        <v>256</v>
      </c>
      <c r="D114" t="s">
        <v>31</v>
      </c>
      <c r="E114" t="s">
        <v>32</v>
      </c>
      <c r="F114" t="s">
        <v>33</v>
      </c>
      <c r="G114">
        <v>10</v>
      </c>
      <c r="H114">
        <v>3413</v>
      </c>
      <c r="I114" s="6">
        <v>34130</v>
      </c>
      <c r="J114" t="s">
        <v>55</v>
      </c>
      <c r="K114" t="s">
        <v>27</v>
      </c>
      <c r="L114" t="s">
        <v>19</v>
      </c>
      <c r="M114" t="s">
        <v>35</v>
      </c>
    </row>
    <row r="115" spans="1:13" x14ac:dyDescent="0.25">
      <c r="A115" t="s">
        <v>257</v>
      </c>
      <c r="B115" t="str">
        <f>TEXT(PharmacyData[[#This Row],[Date2]],"mmm")</f>
        <v>Aug</v>
      </c>
      <c r="C115" t="s">
        <v>216</v>
      </c>
      <c r="D115" t="s">
        <v>105</v>
      </c>
      <c r="E115" t="s">
        <v>106</v>
      </c>
      <c r="F115" t="s">
        <v>16</v>
      </c>
      <c r="G115">
        <v>12</v>
      </c>
      <c r="H115">
        <v>3435</v>
      </c>
      <c r="I115" s="6">
        <v>41220</v>
      </c>
      <c r="J115" t="s">
        <v>26</v>
      </c>
      <c r="K115" t="s">
        <v>52</v>
      </c>
      <c r="L115" t="s">
        <v>19</v>
      </c>
      <c r="M115" t="s">
        <v>35</v>
      </c>
    </row>
    <row r="116" spans="1:13" x14ac:dyDescent="0.25">
      <c r="A116" t="s">
        <v>258</v>
      </c>
      <c r="B116" t="str">
        <f>TEXT(PharmacyData[[#This Row],[Date2]],"mmm")</f>
        <v>May</v>
      </c>
      <c r="C116" t="s">
        <v>259</v>
      </c>
      <c r="D116" t="s">
        <v>31</v>
      </c>
      <c r="E116" t="s">
        <v>32</v>
      </c>
      <c r="F116" t="s">
        <v>58</v>
      </c>
      <c r="G116">
        <v>5</v>
      </c>
      <c r="H116">
        <v>2209</v>
      </c>
      <c r="I116" s="6">
        <v>11045</v>
      </c>
      <c r="J116" t="s">
        <v>26</v>
      </c>
      <c r="K116" t="s">
        <v>27</v>
      </c>
      <c r="L116" t="s">
        <v>19</v>
      </c>
      <c r="M116" t="s">
        <v>35</v>
      </c>
    </row>
    <row r="117" spans="1:13" x14ac:dyDescent="0.25">
      <c r="A117" t="s">
        <v>260</v>
      </c>
      <c r="B117" t="str">
        <f>TEXT(PharmacyData[[#This Row],[Date2]],"mmm")</f>
        <v>Jan</v>
      </c>
      <c r="C117" t="s">
        <v>261</v>
      </c>
      <c r="D117" t="s">
        <v>65</v>
      </c>
      <c r="E117" t="s">
        <v>66</v>
      </c>
      <c r="F117" t="s">
        <v>33</v>
      </c>
      <c r="G117">
        <v>12</v>
      </c>
      <c r="H117">
        <v>4067</v>
      </c>
      <c r="I117" s="6">
        <v>48804</v>
      </c>
      <c r="J117" t="s">
        <v>17</v>
      </c>
      <c r="K117" t="s">
        <v>52</v>
      </c>
      <c r="L117" t="s">
        <v>19</v>
      </c>
      <c r="M117" t="s">
        <v>35</v>
      </c>
    </row>
    <row r="118" spans="1:13" x14ac:dyDescent="0.25">
      <c r="A118" t="s">
        <v>262</v>
      </c>
      <c r="B118" t="str">
        <f>TEXT(PharmacyData[[#This Row],[Date2]],"mmm")</f>
        <v>Oct</v>
      </c>
      <c r="C118" t="s">
        <v>207</v>
      </c>
      <c r="D118" t="s">
        <v>105</v>
      </c>
      <c r="E118" t="s">
        <v>106</v>
      </c>
      <c r="F118" t="s">
        <v>25</v>
      </c>
      <c r="G118">
        <v>4</v>
      </c>
      <c r="H118">
        <v>1274</v>
      </c>
      <c r="I118" s="6">
        <v>5096</v>
      </c>
      <c r="J118" t="s">
        <v>42</v>
      </c>
      <c r="K118" t="s">
        <v>52</v>
      </c>
      <c r="L118" t="s">
        <v>19</v>
      </c>
      <c r="M118" t="s">
        <v>43</v>
      </c>
    </row>
    <row r="119" spans="1:13" x14ac:dyDescent="0.25">
      <c r="A119" t="s">
        <v>263</v>
      </c>
      <c r="B119" t="str">
        <f>TEXT(PharmacyData[[#This Row],[Date2]],"mmm")</f>
        <v>Nov</v>
      </c>
      <c r="C119" t="s">
        <v>264</v>
      </c>
      <c r="D119" t="s">
        <v>40</v>
      </c>
      <c r="E119" t="s">
        <v>41</v>
      </c>
      <c r="F119" t="s">
        <v>25</v>
      </c>
      <c r="G119">
        <v>1</v>
      </c>
      <c r="H119">
        <v>2396</v>
      </c>
      <c r="I119" s="6">
        <v>2396</v>
      </c>
      <c r="J119" t="s">
        <v>55</v>
      </c>
      <c r="K119" t="s">
        <v>18</v>
      </c>
      <c r="L119" t="s">
        <v>28</v>
      </c>
      <c r="M119" t="s">
        <v>20</v>
      </c>
    </row>
    <row r="120" spans="1:13" x14ac:dyDescent="0.25">
      <c r="A120" t="s">
        <v>265</v>
      </c>
      <c r="B120" t="str">
        <f>TEXT(PharmacyData[[#This Row],[Date2]],"mmm")</f>
        <v>Jan</v>
      </c>
      <c r="C120" t="s">
        <v>261</v>
      </c>
      <c r="D120" t="s">
        <v>40</v>
      </c>
      <c r="E120" t="s">
        <v>41</v>
      </c>
      <c r="F120" t="s">
        <v>58</v>
      </c>
      <c r="G120">
        <v>15</v>
      </c>
      <c r="H120">
        <v>2653</v>
      </c>
      <c r="I120" s="6">
        <v>39795</v>
      </c>
      <c r="J120" t="s">
        <v>34</v>
      </c>
      <c r="K120" t="s">
        <v>52</v>
      </c>
      <c r="L120" t="s">
        <v>28</v>
      </c>
      <c r="M120" t="s">
        <v>20</v>
      </c>
    </row>
    <row r="121" spans="1:13" x14ac:dyDescent="0.25">
      <c r="A121" t="s">
        <v>266</v>
      </c>
      <c r="B121" t="str">
        <f>TEXT(PharmacyData[[#This Row],[Date2]],"mmm")</f>
        <v>Aug</v>
      </c>
      <c r="C121" t="s">
        <v>267</v>
      </c>
      <c r="D121" t="s">
        <v>14</v>
      </c>
      <c r="E121" t="s">
        <v>15</v>
      </c>
      <c r="F121" t="s">
        <v>33</v>
      </c>
      <c r="G121">
        <v>14</v>
      </c>
      <c r="H121">
        <v>1255</v>
      </c>
      <c r="I121" s="6">
        <v>17570</v>
      </c>
      <c r="J121" t="s">
        <v>17</v>
      </c>
      <c r="K121" t="s">
        <v>18</v>
      </c>
      <c r="L121" t="s">
        <v>19</v>
      </c>
      <c r="M121" t="s">
        <v>20</v>
      </c>
    </row>
    <row r="122" spans="1:13" x14ac:dyDescent="0.25">
      <c r="A122" t="s">
        <v>268</v>
      </c>
      <c r="B122" t="str">
        <f>TEXT(PharmacyData[[#This Row],[Date2]],"mmm")</f>
        <v>May</v>
      </c>
      <c r="C122" t="s">
        <v>269</v>
      </c>
      <c r="D122" t="s">
        <v>40</v>
      </c>
      <c r="E122" t="s">
        <v>41</v>
      </c>
      <c r="F122" t="s">
        <v>33</v>
      </c>
      <c r="G122">
        <v>3</v>
      </c>
      <c r="H122">
        <v>4360</v>
      </c>
      <c r="I122" s="6">
        <v>13080</v>
      </c>
      <c r="J122" t="s">
        <v>34</v>
      </c>
      <c r="K122" t="s">
        <v>27</v>
      </c>
      <c r="L122" t="s">
        <v>19</v>
      </c>
      <c r="M122" t="s">
        <v>35</v>
      </c>
    </row>
    <row r="123" spans="1:13" x14ac:dyDescent="0.25">
      <c r="A123" t="s">
        <v>270</v>
      </c>
      <c r="B123" t="str">
        <f>TEXT(PharmacyData[[#This Row],[Date2]],"mmm")</f>
        <v>Feb</v>
      </c>
      <c r="C123" t="s">
        <v>88</v>
      </c>
      <c r="D123" t="s">
        <v>71</v>
      </c>
      <c r="E123" t="s">
        <v>32</v>
      </c>
      <c r="F123" t="s">
        <v>33</v>
      </c>
      <c r="G123">
        <v>14</v>
      </c>
      <c r="H123">
        <v>3978</v>
      </c>
      <c r="I123" s="6">
        <v>55692</v>
      </c>
      <c r="J123" t="s">
        <v>42</v>
      </c>
      <c r="K123" t="s">
        <v>18</v>
      </c>
      <c r="L123" t="s">
        <v>19</v>
      </c>
      <c r="M123" t="s">
        <v>35</v>
      </c>
    </row>
    <row r="124" spans="1:13" x14ac:dyDescent="0.25">
      <c r="A124" t="s">
        <v>271</v>
      </c>
      <c r="B124" t="str">
        <f>TEXT(PharmacyData[[#This Row],[Date2]],"mmm")</f>
        <v>May</v>
      </c>
      <c r="C124" t="s">
        <v>272</v>
      </c>
      <c r="D124" t="s">
        <v>105</v>
      </c>
      <c r="E124" t="s">
        <v>106</v>
      </c>
      <c r="F124" t="s">
        <v>25</v>
      </c>
      <c r="G124">
        <v>14</v>
      </c>
      <c r="H124">
        <v>717</v>
      </c>
      <c r="I124" s="6">
        <v>10038</v>
      </c>
      <c r="J124" t="s">
        <v>17</v>
      </c>
      <c r="K124" t="s">
        <v>18</v>
      </c>
      <c r="L124" t="s">
        <v>28</v>
      </c>
      <c r="M124" t="s">
        <v>43</v>
      </c>
    </row>
    <row r="125" spans="1:13" x14ac:dyDescent="0.25">
      <c r="A125" t="s">
        <v>273</v>
      </c>
      <c r="B125" t="str">
        <f>TEXT(PharmacyData[[#This Row],[Date2]],"mmm")</f>
        <v>Jul</v>
      </c>
      <c r="C125" t="s">
        <v>274</v>
      </c>
      <c r="D125" t="s">
        <v>82</v>
      </c>
      <c r="E125" t="s">
        <v>15</v>
      </c>
      <c r="F125" t="s">
        <v>33</v>
      </c>
      <c r="G125">
        <v>12</v>
      </c>
      <c r="H125">
        <v>942</v>
      </c>
      <c r="I125" s="6">
        <v>11304</v>
      </c>
      <c r="J125" t="s">
        <v>17</v>
      </c>
      <c r="K125" t="s">
        <v>18</v>
      </c>
      <c r="L125" t="s">
        <v>28</v>
      </c>
      <c r="M125" t="s">
        <v>43</v>
      </c>
    </row>
    <row r="126" spans="1:13" x14ac:dyDescent="0.25">
      <c r="A126" t="s">
        <v>275</v>
      </c>
      <c r="B126" t="str">
        <f>TEXT(PharmacyData[[#This Row],[Date2]],"mmm")</f>
        <v>Dec</v>
      </c>
      <c r="C126" t="s">
        <v>276</v>
      </c>
      <c r="D126" t="s">
        <v>46</v>
      </c>
      <c r="E126" t="s">
        <v>47</v>
      </c>
      <c r="F126" t="s">
        <v>58</v>
      </c>
      <c r="G126">
        <v>6</v>
      </c>
      <c r="H126">
        <v>755</v>
      </c>
      <c r="I126" s="6">
        <v>4530</v>
      </c>
      <c r="J126" t="s">
        <v>55</v>
      </c>
      <c r="K126" t="s">
        <v>52</v>
      </c>
      <c r="L126" t="s">
        <v>28</v>
      </c>
      <c r="M126" t="s">
        <v>43</v>
      </c>
    </row>
    <row r="127" spans="1:13" x14ac:dyDescent="0.25">
      <c r="A127" t="s">
        <v>277</v>
      </c>
      <c r="B127" t="str">
        <f>TEXT(PharmacyData[[#This Row],[Date2]],"mmm")</f>
        <v>Sep</v>
      </c>
      <c r="C127" t="s">
        <v>278</v>
      </c>
      <c r="D127" t="s">
        <v>14</v>
      </c>
      <c r="E127" t="s">
        <v>15</v>
      </c>
      <c r="F127" t="s">
        <v>58</v>
      </c>
      <c r="G127">
        <v>11</v>
      </c>
      <c r="H127">
        <v>1444</v>
      </c>
      <c r="I127" s="6">
        <v>15884</v>
      </c>
      <c r="J127" t="s">
        <v>17</v>
      </c>
      <c r="K127" t="s">
        <v>18</v>
      </c>
      <c r="L127" t="s">
        <v>28</v>
      </c>
      <c r="M127" t="s">
        <v>43</v>
      </c>
    </row>
    <row r="128" spans="1:13" x14ac:dyDescent="0.25">
      <c r="A128" t="s">
        <v>279</v>
      </c>
      <c r="B128" t="str">
        <f>TEXT(PharmacyData[[#This Row],[Date2]],"mmm")</f>
        <v>Apr</v>
      </c>
      <c r="C128" t="s">
        <v>221</v>
      </c>
      <c r="D128" t="s">
        <v>31</v>
      </c>
      <c r="E128" t="s">
        <v>32</v>
      </c>
      <c r="F128" t="s">
        <v>25</v>
      </c>
      <c r="G128">
        <v>8</v>
      </c>
      <c r="H128">
        <v>1170</v>
      </c>
      <c r="I128" s="6">
        <v>9360</v>
      </c>
      <c r="J128" t="s">
        <v>42</v>
      </c>
      <c r="K128" t="s">
        <v>52</v>
      </c>
      <c r="L128" t="s">
        <v>19</v>
      </c>
      <c r="M128" t="s">
        <v>20</v>
      </c>
    </row>
    <row r="129" spans="1:13" x14ac:dyDescent="0.25">
      <c r="A129" t="s">
        <v>280</v>
      </c>
      <c r="B129" t="str">
        <f>TEXT(PharmacyData[[#This Row],[Date2]],"mmm")</f>
        <v>Sep</v>
      </c>
      <c r="C129" t="s">
        <v>197</v>
      </c>
      <c r="D129" t="s">
        <v>14</v>
      </c>
      <c r="E129" t="s">
        <v>15</v>
      </c>
      <c r="F129" t="s">
        <v>58</v>
      </c>
      <c r="G129">
        <v>11</v>
      </c>
      <c r="H129">
        <v>980</v>
      </c>
      <c r="I129" s="6">
        <v>10780</v>
      </c>
      <c r="J129" t="s">
        <v>17</v>
      </c>
      <c r="K129" t="s">
        <v>27</v>
      </c>
      <c r="L129" t="s">
        <v>28</v>
      </c>
      <c r="M129" t="s">
        <v>20</v>
      </c>
    </row>
    <row r="130" spans="1:13" x14ac:dyDescent="0.25">
      <c r="A130" t="s">
        <v>281</v>
      </c>
      <c r="B130" t="str">
        <f>TEXT(PharmacyData[[#This Row],[Date2]],"mmm")</f>
        <v>Nov</v>
      </c>
      <c r="C130" t="s">
        <v>282</v>
      </c>
      <c r="D130" t="s">
        <v>14</v>
      </c>
      <c r="E130" t="s">
        <v>15</v>
      </c>
      <c r="F130" t="s">
        <v>16</v>
      </c>
      <c r="G130">
        <v>8</v>
      </c>
      <c r="H130">
        <v>2795</v>
      </c>
      <c r="I130" s="6">
        <v>22360</v>
      </c>
      <c r="J130" t="s">
        <v>17</v>
      </c>
      <c r="K130" t="s">
        <v>27</v>
      </c>
      <c r="L130" t="s">
        <v>28</v>
      </c>
      <c r="M130" t="s">
        <v>35</v>
      </c>
    </row>
    <row r="131" spans="1:13" x14ac:dyDescent="0.25">
      <c r="A131" t="s">
        <v>283</v>
      </c>
      <c r="B131" t="str">
        <f>TEXT(PharmacyData[[#This Row],[Date2]],"mmm")</f>
        <v>Dec</v>
      </c>
      <c r="C131" t="s">
        <v>284</v>
      </c>
      <c r="D131" t="s">
        <v>82</v>
      </c>
      <c r="E131" t="s">
        <v>15</v>
      </c>
      <c r="F131" t="s">
        <v>58</v>
      </c>
      <c r="G131">
        <v>6</v>
      </c>
      <c r="H131">
        <v>1209</v>
      </c>
      <c r="I131" s="6">
        <v>7254</v>
      </c>
      <c r="J131" t="s">
        <v>55</v>
      </c>
      <c r="K131" t="s">
        <v>52</v>
      </c>
      <c r="L131" t="s">
        <v>28</v>
      </c>
      <c r="M131" t="s">
        <v>43</v>
      </c>
    </row>
    <row r="132" spans="1:13" x14ac:dyDescent="0.25">
      <c r="A132" t="s">
        <v>285</v>
      </c>
      <c r="B132" t="str">
        <f>TEXT(PharmacyData[[#This Row],[Date2]],"mmm")</f>
        <v>Oct</v>
      </c>
      <c r="C132" t="s">
        <v>45</v>
      </c>
      <c r="D132" t="s">
        <v>40</v>
      </c>
      <c r="E132" t="s">
        <v>41</v>
      </c>
      <c r="F132" t="s">
        <v>25</v>
      </c>
      <c r="G132">
        <v>13</v>
      </c>
      <c r="H132">
        <v>437</v>
      </c>
      <c r="I132" s="6">
        <v>5681</v>
      </c>
      <c r="J132" t="s">
        <v>55</v>
      </c>
      <c r="K132" t="s">
        <v>27</v>
      </c>
      <c r="L132" t="s">
        <v>28</v>
      </c>
      <c r="M132" t="s">
        <v>35</v>
      </c>
    </row>
    <row r="133" spans="1:13" x14ac:dyDescent="0.25">
      <c r="A133" t="s">
        <v>286</v>
      </c>
      <c r="B133" t="str">
        <f>TEXT(PharmacyData[[#This Row],[Date2]],"mmm")</f>
        <v>Oct</v>
      </c>
      <c r="C133" t="s">
        <v>287</v>
      </c>
      <c r="D133" t="s">
        <v>14</v>
      </c>
      <c r="E133" t="s">
        <v>15</v>
      </c>
      <c r="F133" t="s">
        <v>33</v>
      </c>
      <c r="G133">
        <v>2</v>
      </c>
      <c r="H133">
        <v>2941</v>
      </c>
      <c r="I133" s="6">
        <v>5882</v>
      </c>
      <c r="J133" t="s">
        <v>17</v>
      </c>
      <c r="K133" t="s">
        <v>27</v>
      </c>
      <c r="L133" t="s">
        <v>19</v>
      </c>
      <c r="M133" t="s">
        <v>20</v>
      </c>
    </row>
    <row r="134" spans="1:13" x14ac:dyDescent="0.25">
      <c r="A134" t="s">
        <v>288</v>
      </c>
      <c r="B134" t="str">
        <f>TEXT(PharmacyData[[#This Row],[Date2]],"mmm")</f>
        <v>Sep</v>
      </c>
      <c r="C134" t="s">
        <v>289</v>
      </c>
      <c r="D134" t="s">
        <v>65</v>
      </c>
      <c r="E134" t="s">
        <v>66</v>
      </c>
      <c r="F134" t="s">
        <v>25</v>
      </c>
      <c r="G134">
        <v>5</v>
      </c>
      <c r="H134">
        <v>3086</v>
      </c>
      <c r="I134" s="6">
        <v>15430</v>
      </c>
      <c r="J134" t="s">
        <v>34</v>
      </c>
      <c r="K134" t="s">
        <v>27</v>
      </c>
      <c r="L134" t="s">
        <v>28</v>
      </c>
      <c r="M134" t="s">
        <v>43</v>
      </c>
    </row>
    <row r="135" spans="1:13" x14ac:dyDescent="0.25">
      <c r="A135" t="s">
        <v>290</v>
      </c>
      <c r="B135" t="str">
        <f>TEXT(PharmacyData[[#This Row],[Date2]],"mmm")</f>
        <v>Nov</v>
      </c>
      <c r="C135" t="s">
        <v>144</v>
      </c>
      <c r="D135" t="s">
        <v>71</v>
      </c>
      <c r="E135" t="s">
        <v>32</v>
      </c>
      <c r="F135" t="s">
        <v>58</v>
      </c>
      <c r="G135">
        <v>9</v>
      </c>
      <c r="H135">
        <v>2546</v>
      </c>
      <c r="I135" s="6">
        <v>22914</v>
      </c>
      <c r="J135" t="s">
        <v>42</v>
      </c>
      <c r="K135" t="s">
        <v>27</v>
      </c>
      <c r="L135" t="s">
        <v>19</v>
      </c>
      <c r="M135" t="s">
        <v>43</v>
      </c>
    </row>
    <row r="136" spans="1:13" x14ac:dyDescent="0.25">
      <c r="A136" t="s">
        <v>291</v>
      </c>
      <c r="B136" t="str">
        <f>TEXT(PharmacyData[[#This Row],[Date2]],"mmm")</f>
        <v>Apr</v>
      </c>
      <c r="C136" t="s">
        <v>292</v>
      </c>
      <c r="D136" t="s">
        <v>14</v>
      </c>
      <c r="E136" t="s">
        <v>15</v>
      </c>
      <c r="F136" t="s">
        <v>16</v>
      </c>
      <c r="G136">
        <v>6</v>
      </c>
      <c r="H136">
        <v>4840</v>
      </c>
      <c r="I136" s="6">
        <v>29040</v>
      </c>
      <c r="J136" t="s">
        <v>42</v>
      </c>
      <c r="K136" t="s">
        <v>52</v>
      </c>
      <c r="L136" t="s">
        <v>28</v>
      </c>
      <c r="M136" t="s">
        <v>20</v>
      </c>
    </row>
    <row r="137" spans="1:13" x14ac:dyDescent="0.25">
      <c r="A137" t="s">
        <v>293</v>
      </c>
      <c r="B137" t="str">
        <f>TEXT(PharmacyData[[#This Row],[Date2]],"mmm")</f>
        <v>Jan</v>
      </c>
      <c r="C137" t="s">
        <v>154</v>
      </c>
      <c r="D137" t="s">
        <v>82</v>
      </c>
      <c r="E137" t="s">
        <v>15</v>
      </c>
      <c r="F137" t="s">
        <v>58</v>
      </c>
      <c r="G137">
        <v>9</v>
      </c>
      <c r="H137">
        <v>2960</v>
      </c>
      <c r="I137" s="6">
        <v>26640</v>
      </c>
      <c r="J137" t="s">
        <v>17</v>
      </c>
      <c r="K137" t="s">
        <v>27</v>
      </c>
      <c r="L137" t="s">
        <v>19</v>
      </c>
      <c r="M137" t="s">
        <v>43</v>
      </c>
    </row>
    <row r="138" spans="1:13" x14ac:dyDescent="0.25">
      <c r="A138" t="s">
        <v>294</v>
      </c>
      <c r="B138" t="str">
        <f>TEXT(PharmacyData[[#This Row],[Date2]],"mmm")</f>
        <v>Mar</v>
      </c>
      <c r="C138" t="s">
        <v>295</v>
      </c>
      <c r="D138" t="s">
        <v>71</v>
      </c>
      <c r="E138" t="s">
        <v>32</v>
      </c>
      <c r="F138" t="s">
        <v>33</v>
      </c>
      <c r="G138">
        <v>13</v>
      </c>
      <c r="H138">
        <v>1031</v>
      </c>
      <c r="I138" s="6">
        <v>13403</v>
      </c>
      <c r="J138" t="s">
        <v>42</v>
      </c>
      <c r="K138" t="s">
        <v>18</v>
      </c>
      <c r="L138" t="s">
        <v>28</v>
      </c>
      <c r="M138" t="s">
        <v>43</v>
      </c>
    </row>
    <row r="139" spans="1:13" x14ac:dyDescent="0.25">
      <c r="A139" t="s">
        <v>296</v>
      </c>
      <c r="B139" t="str">
        <f>TEXT(PharmacyData[[#This Row],[Date2]],"mmm")</f>
        <v>May</v>
      </c>
      <c r="C139" t="s">
        <v>297</v>
      </c>
      <c r="D139" t="s">
        <v>105</v>
      </c>
      <c r="E139" t="s">
        <v>106</v>
      </c>
      <c r="F139" t="s">
        <v>25</v>
      </c>
      <c r="G139">
        <v>2</v>
      </c>
      <c r="H139">
        <v>4149</v>
      </c>
      <c r="I139" s="6">
        <v>8298</v>
      </c>
      <c r="J139" t="s">
        <v>17</v>
      </c>
      <c r="K139" t="s">
        <v>52</v>
      </c>
      <c r="L139" t="s">
        <v>19</v>
      </c>
      <c r="M139" t="s">
        <v>35</v>
      </c>
    </row>
    <row r="140" spans="1:13" x14ac:dyDescent="0.25">
      <c r="A140" t="s">
        <v>298</v>
      </c>
      <c r="B140" t="str">
        <f>TEXT(PharmacyData[[#This Row],[Date2]],"mmm")</f>
        <v>Jan</v>
      </c>
      <c r="C140" t="s">
        <v>299</v>
      </c>
      <c r="D140" t="s">
        <v>31</v>
      </c>
      <c r="E140" t="s">
        <v>32</v>
      </c>
      <c r="F140" t="s">
        <v>58</v>
      </c>
      <c r="G140">
        <v>11</v>
      </c>
      <c r="H140">
        <v>3873</v>
      </c>
      <c r="I140" s="6">
        <v>42603</v>
      </c>
      <c r="J140" t="s">
        <v>17</v>
      </c>
      <c r="K140" t="s">
        <v>18</v>
      </c>
      <c r="L140" t="s">
        <v>19</v>
      </c>
      <c r="M140" t="s">
        <v>20</v>
      </c>
    </row>
    <row r="141" spans="1:13" x14ac:dyDescent="0.25">
      <c r="A141" t="s">
        <v>300</v>
      </c>
      <c r="B141" t="str">
        <f>TEXT(PharmacyData[[#This Row],[Date2]],"mmm")</f>
        <v>Nov</v>
      </c>
      <c r="C141" t="s">
        <v>13</v>
      </c>
      <c r="D141" t="s">
        <v>31</v>
      </c>
      <c r="E141" t="s">
        <v>32</v>
      </c>
      <c r="F141" t="s">
        <v>16</v>
      </c>
      <c r="G141">
        <v>14</v>
      </c>
      <c r="H141">
        <v>3037</v>
      </c>
      <c r="I141" s="6">
        <v>42518</v>
      </c>
      <c r="J141" t="s">
        <v>42</v>
      </c>
      <c r="K141" t="s">
        <v>27</v>
      </c>
      <c r="L141" t="s">
        <v>28</v>
      </c>
      <c r="M141" t="s">
        <v>35</v>
      </c>
    </row>
    <row r="142" spans="1:13" x14ac:dyDescent="0.25">
      <c r="A142" t="s">
        <v>301</v>
      </c>
      <c r="B142" t="str">
        <f>TEXT(PharmacyData[[#This Row],[Date2]],"mmm")</f>
        <v>Mar</v>
      </c>
      <c r="C142" t="s">
        <v>175</v>
      </c>
      <c r="D142" t="s">
        <v>40</v>
      </c>
      <c r="E142" t="s">
        <v>41</v>
      </c>
      <c r="F142" t="s">
        <v>25</v>
      </c>
      <c r="G142">
        <v>4</v>
      </c>
      <c r="H142">
        <v>4858</v>
      </c>
      <c r="I142" s="6">
        <v>19432</v>
      </c>
      <c r="J142" t="s">
        <v>34</v>
      </c>
      <c r="K142" t="s">
        <v>27</v>
      </c>
      <c r="L142" t="s">
        <v>28</v>
      </c>
      <c r="M142" t="s">
        <v>35</v>
      </c>
    </row>
    <row r="143" spans="1:13" x14ac:dyDescent="0.25">
      <c r="A143" t="s">
        <v>302</v>
      </c>
      <c r="B143" t="str">
        <f>TEXT(PharmacyData[[#This Row],[Date2]],"mmm")</f>
        <v>Jun</v>
      </c>
      <c r="C143" t="s">
        <v>230</v>
      </c>
      <c r="D143" t="s">
        <v>82</v>
      </c>
      <c r="E143" t="s">
        <v>15</v>
      </c>
      <c r="F143" t="s">
        <v>58</v>
      </c>
      <c r="G143">
        <v>9</v>
      </c>
      <c r="H143">
        <v>2270</v>
      </c>
      <c r="I143" s="6">
        <v>20430</v>
      </c>
      <c r="J143" t="s">
        <v>17</v>
      </c>
      <c r="K143" t="s">
        <v>27</v>
      </c>
      <c r="L143" t="s">
        <v>19</v>
      </c>
      <c r="M143" t="s">
        <v>35</v>
      </c>
    </row>
    <row r="144" spans="1:13" x14ac:dyDescent="0.25">
      <c r="A144" t="s">
        <v>303</v>
      </c>
      <c r="B144" t="str">
        <f>TEXT(PharmacyData[[#This Row],[Date2]],"mmm")</f>
        <v>Jun</v>
      </c>
      <c r="C144" t="s">
        <v>304</v>
      </c>
      <c r="D144" t="s">
        <v>82</v>
      </c>
      <c r="E144" t="s">
        <v>15</v>
      </c>
      <c r="F144" t="s">
        <v>58</v>
      </c>
      <c r="G144">
        <v>6</v>
      </c>
      <c r="H144">
        <v>888</v>
      </c>
      <c r="I144" s="6">
        <v>5328</v>
      </c>
      <c r="J144" t="s">
        <v>17</v>
      </c>
      <c r="K144" t="s">
        <v>27</v>
      </c>
      <c r="L144" t="s">
        <v>28</v>
      </c>
      <c r="M144" t="s">
        <v>20</v>
      </c>
    </row>
    <row r="145" spans="1:13" x14ac:dyDescent="0.25">
      <c r="A145" t="s">
        <v>305</v>
      </c>
      <c r="B145" t="str">
        <f>TEXT(PharmacyData[[#This Row],[Date2]],"mmm")</f>
        <v>Aug</v>
      </c>
      <c r="C145" t="s">
        <v>267</v>
      </c>
      <c r="D145" t="s">
        <v>23</v>
      </c>
      <c r="E145" t="s">
        <v>24</v>
      </c>
      <c r="F145" t="s">
        <v>16</v>
      </c>
      <c r="G145">
        <v>8</v>
      </c>
      <c r="H145">
        <v>4350</v>
      </c>
      <c r="I145" s="6">
        <v>34800</v>
      </c>
      <c r="J145" t="s">
        <v>55</v>
      </c>
      <c r="K145" t="s">
        <v>18</v>
      </c>
      <c r="L145" t="s">
        <v>19</v>
      </c>
      <c r="M145" t="s">
        <v>20</v>
      </c>
    </row>
    <row r="146" spans="1:13" x14ac:dyDescent="0.25">
      <c r="A146" t="s">
        <v>306</v>
      </c>
      <c r="B146" t="str">
        <f>TEXT(PharmacyData[[#This Row],[Date2]],"mmm")</f>
        <v>Feb</v>
      </c>
      <c r="C146" t="s">
        <v>307</v>
      </c>
      <c r="D146" t="s">
        <v>14</v>
      </c>
      <c r="E146" t="s">
        <v>15</v>
      </c>
      <c r="F146" t="s">
        <v>25</v>
      </c>
      <c r="G146">
        <v>9</v>
      </c>
      <c r="H146">
        <v>513</v>
      </c>
      <c r="I146" s="6">
        <v>4617</v>
      </c>
      <c r="J146" t="s">
        <v>26</v>
      </c>
      <c r="K146" t="s">
        <v>52</v>
      </c>
      <c r="L146" t="s">
        <v>28</v>
      </c>
      <c r="M146" t="s">
        <v>43</v>
      </c>
    </row>
    <row r="147" spans="1:13" x14ac:dyDescent="0.25">
      <c r="A147" t="s">
        <v>308</v>
      </c>
      <c r="B147" t="str">
        <f>TEXT(PharmacyData[[#This Row],[Date2]],"mmm")</f>
        <v>Aug</v>
      </c>
      <c r="C147" t="s">
        <v>309</v>
      </c>
      <c r="D147" t="s">
        <v>65</v>
      </c>
      <c r="E147" t="s">
        <v>66</v>
      </c>
      <c r="F147" t="s">
        <v>25</v>
      </c>
      <c r="G147">
        <v>7</v>
      </c>
      <c r="H147">
        <v>498</v>
      </c>
      <c r="I147" s="6">
        <v>3486</v>
      </c>
      <c r="J147" t="s">
        <v>26</v>
      </c>
      <c r="K147" t="s">
        <v>52</v>
      </c>
      <c r="L147" t="s">
        <v>28</v>
      </c>
      <c r="M147" t="s">
        <v>20</v>
      </c>
    </row>
    <row r="148" spans="1:13" x14ac:dyDescent="0.25">
      <c r="A148" t="s">
        <v>310</v>
      </c>
      <c r="B148" t="str">
        <f>TEXT(PharmacyData[[#This Row],[Date2]],"mmm")</f>
        <v>Apr</v>
      </c>
      <c r="C148" t="s">
        <v>311</v>
      </c>
      <c r="D148" t="s">
        <v>65</v>
      </c>
      <c r="E148" t="s">
        <v>66</v>
      </c>
      <c r="F148" t="s">
        <v>25</v>
      </c>
      <c r="G148">
        <v>10</v>
      </c>
      <c r="H148">
        <v>692</v>
      </c>
      <c r="I148" s="6">
        <v>6920</v>
      </c>
      <c r="J148" t="s">
        <v>42</v>
      </c>
      <c r="K148" t="s">
        <v>27</v>
      </c>
      <c r="L148" t="s">
        <v>19</v>
      </c>
      <c r="M148" t="s">
        <v>35</v>
      </c>
    </row>
    <row r="149" spans="1:13" x14ac:dyDescent="0.25">
      <c r="A149" t="s">
        <v>312</v>
      </c>
      <c r="B149" t="str">
        <f>TEXT(PharmacyData[[#This Row],[Date2]],"mmm")</f>
        <v>Sep</v>
      </c>
      <c r="C149" t="s">
        <v>100</v>
      </c>
      <c r="D149" t="s">
        <v>14</v>
      </c>
      <c r="E149" t="s">
        <v>15</v>
      </c>
      <c r="F149" t="s">
        <v>33</v>
      </c>
      <c r="G149">
        <v>15</v>
      </c>
      <c r="H149">
        <v>4844</v>
      </c>
      <c r="I149" s="6">
        <v>72660</v>
      </c>
      <c r="J149" t="s">
        <v>55</v>
      </c>
      <c r="K149" t="s">
        <v>27</v>
      </c>
      <c r="L149" t="s">
        <v>19</v>
      </c>
      <c r="M149" t="s">
        <v>20</v>
      </c>
    </row>
    <row r="150" spans="1:13" x14ac:dyDescent="0.25">
      <c r="A150" t="s">
        <v>313</v>
      </c>
      <c r="B150" t="str">
        <f>TEXT(PharmacyData[[#This Row],[Date2]],"mmm")</f>
        <v>Aug</v>
      </c>
      <c r="C150" t="s">
        <v>314</v>
      </c>
      <c r="D150" t="s">
        <v>40</v>
      </c>
      <c r="E150" t="s">
        <v>41</v>
      </c>
      <c r="F150" t="s">
        <v>25</v>
      </c>
      <c r="G150">
        <v>1</v>
      </c>
      <c r="H150">
        <v>4585</v>
      </c>
      <c r="I150" s="6">
        <v>4585</v>
      </c>
      <c r="J150" t="s">
        <v>42</v>
      </c>
      <c r="K150" t="s">
        <v>27</v>
      </c>
      <c r="L150" t="s">
        <v>19</v>
      </c>
      <c r="M150" t="s">
        <v>35</v>
      </c>
    </row>
    <row r="151" spans="1:13" x14ac:dyDescent="0.25">
      <c r="A151" t="s">
        <v>315</v>
      </c>
      <c r="B151" t="str">
        <f>TEXT(PharmacyData[[#This Row],[Date2]],"mmm")</f>
        <v>Feb</v>
      </c>
      <c r="C151" t="s">
        <v>316</v>
      </c>
      <c r="D151" t="s">
        <v>82</v>
      </c>
      <c r="E151" t="s">
        <v>15</v>
      </c>
      <c r="F151" t="s">
        <v>33</v>
      </c>
      <c r="G151">
        <v>5</v>
      </c>
      <c r="H151">
        <v>1060</v>
      </c>
      <c r="I151" s="6">
        <v>5300</v>
      </c>
      <c r="J151" t="s">
        <v>34</v>
      </c>
      <c r="K151" t="s">
        <v>18</v>
      </c>
      <c r="L151" t="s">
        <v>19</v>
      </c>
      <c r="M151" t="s">
        <v>35</v>
      </c>
    </row>
    <row r="152" spans="1:13" x14ac:dyDescent="0.25">
      <c r="A152" t="s">
        <v>317</v>
      </c>
      <c r="B152" t="str">
        <f>TEXT(PharmacyData[[#This Row],[Date2]],"mmm")</f>
        <v>Jul</v>
      </c>
      <c r="C152" t="s">
        <v>244</v>
      </c>
      <c r="D152" t="s">
        <v>31</v>
      </c>
      <c r="E152" t="s">
        <v>32</v>
      </c>
      <c r="F152" t="s">
        <v>58</v>
      </c>
      <c r="G152">
        <v>2</v>
      </c>
      <c r="H152">
        <v>3561</v>
      </c>
      <c r="I152" s="6">
        <v>7122</v>
      </c>
      <c r="J152" t="s">
        <v>34</v>
      </c>
      <c r="K152" t="s">
        <v>27</v>
      </c>
      <c r="L152" t="s">
        <v>28</v>
      </c>
      <c r="M152" t="s">
        <v>20</v>
      </c>
    </row>
    <row r="153" spans="1:13" x14ac:dyDescent="0.25">
      <c r="A153" t="s">
        <v>318</v>
      </c>
      <c r="B153" t="str">
        <f>TEXT(PharmacyData[[#This Row],[Date2]],"mmm")</f>
        <v>Nov</v>
      </c>
      <c r="C153" t="s">
        <v>319</v>
      </c>
      <c r="D153" t="s">
        <v>82</v>
      </c>
      <c r="E153" t="s">
        <v>15</v>
      </c>
      <c r="F153" t="s">
        <v>58</v>
      </c>
      <c r="G153">
        <v>7</v>
      </c>
      <c r="H153">
        <v>1802</v>
      </c>
      <c r="I153" s="6">
        <v>12614</v>
      </c>
      <c r="J153" t="s">
        <v>26</v>
      </c>
      <c r="K153" t="s">
        <v>18</v>
      </c>
      <c r="L153" t="s">
        <v>28</v>
      </c>
      <c r="M153" t="s">
        <v>35</v>
      </c>
    </row>
    <row r="154" spans="1:13" x14ac:dyDescent="0.25">
      <c r="A154" t="s">
        <v>320</v>
      </c>
      <c r="B154" t="str">
        <f>TEXT(PharmacyData[[#This Row],[Date2]],"mmm")</f>
        <v>Feb</v>
      </c>
      <c r="C154" t="s">
        <v>127</v>
      </c>
      <c r="D154" t="s">
        <v>65</v>
      </c>
      <c r="E154" t="s">
        <v>66</v>
      </c>
      <c r="F154" t="s">
        <v>25</v>
      </c>
      <c r="G154">
        <v>11</v>
      </c>
      <c r="H154">
        <v>4611</v>
      </c>
      <c r="I154" s="6">
        <v>50721</v>
      </c>
      <c r="J154" t="s">
        <v>26</v>
      </c>
      <c r="K154" t="s">
        <v>52</v>
      </c>
      <c r="L154" t="s">
        <v>19</v>
      </c>
      <c r="M154" t="s">
        <v>20</v>
      </c>
    </row>
    <row r="155" spans="1:13" x14ac:dyDescent="0.25">
      <c r="A155" t="s">
        <v>321</v>
      </c>
      <c r="B155" t="str">
        <f>TEXT(PharmacyData[[#This Row],[Date2]],"mmm")</f>
        <v>Mar</v>
      </c>
      <c r="C155" t="s">
        <v>162</v>
      </c>
      <c r="D155" t="s">
        <v>14</v>
      </c>
      <c r="E155" t="s">
        <v>15</v>
      </c>
      <c r="F155" t="s">
        <v>25</v>
      </c>
      <c r="G155">
        <v>15</v>
      </c>
      <c r="H155">
        <v>1980</v>
      </c>
      <c r="I155" s="6">
        <v>29700</v>
      </c>
      <c r="J155" t="s">
        <v>26</v>
      </c>
      <c r="K155" t="s">
        <v>27</v>
      </c>
      <c r="L155" t="s">
        <v>28</v>
      </c>
      <c r="M155" t="s">
        <v>20</v>
      </c>
    </row>
    <row r="156" spans="1:13" x14ac:dyDescent="0.25">
      <c r="A156" t="s">
        <v>322</v>
      </c>
      <c r="B156" t="str">
        <f>TEXT(PharmacyData[[#This Row],[Date2]],"mmm")</f>
        <v>Apr</v>
      </c>
      <c r="C156" t="s">
        <v>323</v>
      </c>
      <c r="D156" t="s">
        <v>46</v>
      </c>
      <c r="E156" t="s">
        <v>47</v>
      </c>
      <c r="F156" t="s">
        <v>33</v>
      </c>
      <c r="G156">
        <v>2</v>
      </c>
      <c r="H156">
        <v>3648</v>
      </c>
      <c r="I156" s="6">
        <v>7296</v>
      </c>
      <c r="J156" t="s">
        <v>34</v>
      </c>
      <c r="K156" t="s">
        <v>18</v>
      </c>
      <c r="L156" t="s">
        <v>19</v>
      </c>
      <c r="M156" t="s">
        <v>43</v>
      </c>
    </row>
    <row r="157" spans="1:13" x14ac:dyDescent="0.25">
      <c r="A157" t="s">
        <v>324</v>
      </c>
      <c r="B157" t="str">
        <f>TEXT(PharmacyData[[#This Row],[Date2]],"mmm")</f>
        <v>Aug</v>
      </c>
      <c r="C157" t="s">
        <v>37</v>
      </c>
      <c r="D157" t="s">
        <v>105</v>
      </c>
      <c r="E157" t="s">
        <v>106</v>
      </c>
      <c r="F157" t="s">
        <v>25</v>
      </c>
      <c r="G157">
        <v>3</v>
      </c>
      <c r="H157">
        <v>1318</v>
      </c>
      <c r="I157" s="6">
        <v>3954</v>
      </c>
      <c r="J157" t="s">
        <v>34</v>
      </c>
      <c r="K157" t="s">
        <v>52</v>
      </c>
      <c r="L157" t="s">
        <v>19</v>
      </c>
      <c r="M157" t="s">
        <v>20</v>
      </c>
    </row>
    <row r="158" spans="1:13" x14ac:dyDescent="0.25">
      <c r="A158" t="s">
        <v>325</v>
      </c>
      <c r="B158" t="str">
        <f>TEXT(PharmacyData[[#This Row],[Date2]],"mmm")</f>
        <v>Dec</v>
      </c>
      <c r="C158" t="s">
        <v>326</v>
      </c>
      <c r="D158" t="s">
        <v>40</v>
      </c>
      <c r="E158" t="s">
        <v>41</v>
      </c>
      <c r="F158" t="s">
        <v>33</v>
      </c>
      <c r="G158">
        <v>6</v>
      </c>
      <c r="H158">
        <v>3349</v>
      </c>
      <c r="I158" s="6">
        <v>20094</v>
      </c>
      <c r="J158" t="s">
        <v>26</v>
      </c>
      <c r="K158" t="s">
        <v>27</v>
      </c>
      <c r="L158" t="s">
        <v>28</v>
      </c>
      <c r="M158" t="s">
        <v>43</v>
      </c>
    </row>
    <row r="159" spans="1:13" x14ac:dyDescent="0.25">
      <c r="A159" t="s">
        <v>327</v>
      </c>
      <c r="B159" t="str">
        <f>TEXT(PharmacyData[[#This Row],[Date2]],"mmm")</f>
        <v>Mar</v>
      </c>
      <c r="C159" t="s">
        <v>328</v>
      </c>
      <c r="D159" t="s">
        <v>14</v>
      </c>
      <c r="E159" t="s">
        <v>15</v>
      </c>
      <c r="F159" t="s">
        <v>58</v>
      </c>
      <c r="G159">
        <v>15</v>
      </c>
      <c r="H159">
        <v>572</v>
      </c>
      <c r="I159" s="6">
        <v>8580</v>
      </c>
      <c r="J159" t="s">
        <v>42</v>
      </c>
      <c r="K159" t="s">
        <v>27</v>
      </c>
      <c r="L159" t="s">
        <v>28</v>
      </c>
      <c r="M159" t="s">
        <v>43</v>
      </c>
    </row>
    <row r="160" spans="1:13" x14ac:dyDescent="0.25">
      <c r="A160" t="s">
        <v>329</v>
      </c>
      <c r="B160" t="str">
        <f>TEXT(PharmacyData[[#This Row],[Date2]],"mmm")</f>
        <v>May</v>
      </c>
      <c r="C160" t="s">
        <v>330</v>
      </c>
      <c r="D160" t="s">
        <v>23</v>
      </c>
      <c r="E160" t="s">
        <v>24</v>
      </c>
      <c r="F160" t="s">
        <v>16</v>
      </c>
      <c r="G160">
        <v>2</v>
      </c>
      <c r="H160">
        <v>2491</v>
      </c>
      <c r="I160" s="6">
        <v>4982</v>
      </c>
      <c r="J160" t="s">
        <v>55</v>
      </c>
      <c r="K160" t="s">
        <v>52</v>
      </c>
      <c r="L160" t="s">
        <v>19</v>
      </c>
      <c r="M160" t="s">
        <v>35</v>
      </c>
    </row>
    <row r="161" spans="1:13" x14ac:dyDescent="0.25">
      <c r="A161" t="s">
        <v>331</v>
      </c>
      <c r="B161" t="str">
        <f>TEXT(PharmacyData[[#This Row],[Date2]],"mmm")</f>
        <v>Jun</v>
      </c>
      <c r="C161" t="s">
        <v>332</v>
      </c>
      <c r="D161" t="s">
        <v>105</v>
      </c>
      <c r="E161" t="s">
        <v>106</v>
      </c>
      <c r="F161" t="s">
        <v>33</v>
      </c>
      <c r="G161">
        <v>6</v>
      </c>
      <c r="H161">
        <v>547</v>
      </c>
      <c r="I161" s="6">
        <v>3282</v>
      </c>
      <c r="J161" t="s">
        <v>26</v>
      </c>
      <c r="K161" t="s">
        <v>18</v>
      </c>
      <c r="L161" t="s">
        <v>28</v>
      </c>
      <c r="M161" t="s">
        <v>43</v>
      </c>
    </row>
    <row r="162" spans="1:13" x14ac:dyDescent="0.25">
      <c r="A162" t="s">
        <v>333</v>
      </c>
      <c r="B162" t="str">
        <f>TEXT(PharmacyData[[#This Row],[Date2]],"mmm")</f>
        <v>Oct</v>
      </c>
      <c r="C162" t="s">
        <v>334</v>
      </c>
      <c r="D162" t="s">
        <v>31</v>
      </c>
      <c r="E162" t="s">
        <v>32</v>
      </c>
      <c r="F162" t="s">
        <v>16</v>
      </c>
      <c r="G162">
        <v>15</v>
      </c>
      <c r="H162">
        <v>3156</v>
      </c>
      <c r="I162" s="6">
        <v>47340</v>
      </c>
      <c r="J162" t="s">
        <v>42</v>
      </c>
      <c r="K162" t="s">
        <v>52</v>
      </c>
      <c r="L162" t="s">
        <v>19</v>
      </c>
      <c r="M162" t="s">
        <v>43</v>
      </c>
    </row>
    <row r="163" spans="1:13" x14ac:dyDescent="0.25">
      <c r="A163" t="s">
        <v>335</v>
      </c>
      <c r="B163" t="str">
        <f>TEXT(PharmacyData[[#This Row],[Date2]],"mmm")</f>
        <v>Nov</v>
      </c>
      <c r="C163" t="s">
        <v>336</v>
      </c>
      <c r="D163" t="s">
        <v>23</v>
      </c>
      <c r="E163" t="s">
        <v>24</v>
      </c>
      <c r="F163" t="s">
        <v>16</v>
      </c>
      <c r="G163">
        <v>12</v>
      </c>
      <c r="H163">
        <v>1301</v>
      </c>
      <c r="I163" s="6">
        <v>15612</v>
      </c>
      <c r="J163" t="s">
        <v>55</v>
      </c>
      <c r="K163" t="s">
        <v>18</v>
      </c>
      <c r="L163" t="s">
        <v>19</v>
      </c>
      <c r="M163" t="s">
        <v>43</v>
      </c>
    </row>
    <row r="164" spans="1:13" x14ac:dyDescent="0.25">
      <c r="A164" t="s">
        <v>337</v>
      </c>
      <c r="B164" t="str">
        <f>TEXT(PharmacyData[[#This Row],[Date2]],"mmm")</f>
        <v>Jan</v>
      </c>
      <c r="C164" t="s">
        <v>338</v>
      </c>
      <c r="D164" t="s">
        <v>105</v>
      </c>
      <c r="E164" t="s">
        <v>106</v>
      </c>
      <c r="F164" t="s">
        <v>58</v>
      </c>
      <c r="G164">
        <v>3</v>
      </c>
      <c r="H164">
        <v>1093</v>
      </c>
      <c r="I164" s="6">
        <v>3279</v>
      </c>
      <c r="J164" t="s">
        <v>26</v>
      </c>
      <c r="K164" t="s">
        <v>27</v>
      </c>
      <c r="L164" t="s">
        <v>28</v>
      </c>
      <c r="M164" t="s">
        <v>20</v>
      </c>
    </row>
    <row r="165" spans="1:13" x14ac:dyDescent="0.25">
      <c r="A165" t="s">
        <v>339</v>
      </c>
      <c r="B165" t="str">
        <f>TEXT(PharmacyData[[#This Row],[Date2]],"mmm")</f>
        <v>Mar</v>
      </c>
      <c r="C165" t="s">
        <v>340</v>
      </c>
      <c r="D165" t="s">
        <v>46</v>
      </c>
      <c r="E165" t="s">
        <v>47</v>
      </c>
      <c r="F165" t="s">
        <v>33</v>
      </c>
      <c r="G165">
        <v>9</v>
      </c>
      <c r="H165">
        <v>2621</v>
      </c>
      <c r="I165" s="6">
        <v>23589</v>
      </c>
      <c r="J165" t="s">
        <v>26</v>
      </c>
      <c r="K165" t="s">
        <v>52</v>
      </c>
      <c r="L165" t="s">
        <v>28</v>
      </c>
      <c r="M165" t="s">
        <v>35</v>
      </c>
    </row>
    <row r="166" spans="1:13" x14ac:dyDescent="0.25">
      <c r="A166" t="s">
        <v>341</v>
      </c>
      <c r="B166" t="str">
        <f>TEXT(PharmacyData[[#This Row],[Date2]],"mmm")</f>
        <v>Jun</v>
      </c>
      <c r="C166" t="s">
        <v>342</v>
      </c>
      <c r="D166" t="s">
        <v>71</v>
      </c>
      <c r="E166" t="s">
        <v>32</v>
      </c>
      <c r="F166" t="s">
        <v>33</v>
      </c>
      <c r="G166">
        <v>4</v>
      </c>
      <c r="H166">
        <v>1795</v>
      </c>
      <c r="I166" s="6">
        <v>7180</v>
      </c>
      <c r="J166" t="s">
        <v>17</v>
      </c>
      <c r="K166" t="s">
        <v>52</v>
      </c>
      <c r="L166" t="s">
        <v>28</v>
      </c>
      <c r="M166" t="s">
        <v>20</v>
      </c>
    </row>
    <row r="167" spans="1:13" x14ac:dyDescent="0.25">
      <c r="A167" t="s">
        <v>343</v>
      </c>
      <c r="B167" t="str">
        <f>TEXT(PharmacyData[[#This Row],[Date2]],"mmm")</f>
        <v>May</v>
      </c>
      <c r="C167" t="s">
        <v>344</v>
      </c>
      <c r="D167" t="s">
        <v>40</v>
      </c>
      <c r="E167" t="s">
        <v>41</v>
      </c>
      <c r="F167" t="s">
        <v>25</v>
      </c>
      <c r="G167">
        <v>9</v>
      </c>
      <c r="H167">
        <v>934</v>
      </c>
      <c r="I167" s="6">
        <v>8406</v>
      </c>
      <c r="J167" t="s">
        <v>34</v>
      </c>
      <c r="K167" t="s">
        <v>18</v>
      </c>
      <c r="L167" t="s">
        <v>28</v>
      </c>
      <c r="M167" t="s">
        <v>20</v>
      </c>
    </row>
    <row r="168" spans="1:13" x14ac:dyDescent="0.25">
      <c r="A168" t="s">
        <v>345</v>
      </c>
      <c r="B168" t="str">
        <f>TEXT(PharmacyData[[#This Row],[Date2]],"mmm")</f>
        <v>Sep</v>
      </c>
      <c r="C168" t="s">
        <v>251</v>
      </c>
      <c r="D168" t="s">
        <v>46</v>
      </c>
      <c r="E168" t="s">
        <v>47</v>
      </c>
      <c r="F168" t="s">
        <v>33</v>
      </c>
      <c r="G168">
        <v>11</v>
      </c>
      <c r="H168">
        <v>3100</v>
      </c>
      <c r="I168" s="6">
        <v>34100</v>
      </c>
      <c r="J168" t="s">
        <v>42</v>
      </c>
      <c r="K168" t="s">
        <v>27</v>
      </c>
      <c r="L168" t="s">
        <v>28</v>
      </c>
      <c r="M168" t="s">
        <v>43</v>
      </c>
    </row>
    <row r="169" spans="1:13" x14ac:dyDescent="0.25">
      <c r="A169" t="s">
        <v>346</v>
      </c>
      <c r="B169" t="str">
        <f>TEXT(PharmacyData[[#This Row],[Date2]],"mmm")</f>
        <v>Jan</v>
      </c>
      <c r="C169" t="s">
        <v>154</v>
      </c>
      <c r="D169" t="s">
        <v>14</v>
      </c>
      <c r="E169" t="s">
        <v>15</v>
      </c>
      <c r="F169" t="s">
        <v>33</v>
      </c>
      <c r="G169">
        <v>1</v>
      </c>
      <c r="H169">
        <v>3743</v>
      </c>
      <c r="I169" s="6">
        <v>3743</v>
      </c>
      <c r="J169" t="s">
        <v>42</v>
      </c>
      <c r="K169" t="s">
        <v>18</v>
      </c>
      <c r="L169" t="s">
        <v>28</v>
      </c>
      <c r="M169" t="s">
        <v>35</v>
      </c>
    </row>
    <row r="170" spans="1:13" x14ac:dyDescent="0.25">
      <c r="A170" t="s">
        <v>347</v>
      </c>
      <c r="B170" t="str">
        <f>TEXT(PharmacyData[[#This Row],[Date2]],"mmm")</f>
        <v>Jun</v>
      </c>
      <c r="C170" t="s">
        <v>348</v>
      </c>
      <c r="D170" t="s">
        <v>40</v>
      </c>
      <c r="E170" t="s">
        <v>41</v>
      </c>
      <c r="F170" t="s">
        <v>58</v>
      </c>
      <c r="G170">
        <v>5</v>
      </c>
      <c r="H170">
        <v>3696</v>
      </c>
      <c r="I170" s="6">
        <v>18480</v>
      </c>
      <c r="J170" t="s">
        <v>55</v>
      </c>
      <c r="K170" t="s">
        <v>27</v>
      </c>
      <c r="L170" t="s">
        <v>28</v>
      </c>
      <c r="M170" t="s">
        <v>20</v>
      </c>
    </row>
    <row r="171" spans="1:13" x14ac:dyDescent="0.25">
      <c r="A171" t="s">
        <v>349</v>
      </c>
      <c r="B171" t="str">
        <f>TEXT(PharmacyData[[#This Row],[Date2]],"mmm")</f>
        <v>Feb</v>
      </c>
      <c r="C171" t="s">
        <v>350</v>
      </c>
      <c r="D171" t="s">
        <v>14</v>
      </c>
      <c r="E171" t="s">
        <v>15</v>
      </c>
      <c r="F171" t="s">
        <v>25</v>
      </c>
      <c r="G171">
        <v>9</v>
      </c>
      <c r="H171">
        <v>2679</v>
      </c>
      <c r="I171" s="6">
        <v>24111</v>
      </c>
      <c r="J171" t="s">
        <v>42</v>
      </c>
      <c r="K171" t="s">
        <v>18</v>
      </c>
      <c r="L171" t="s">
        <v>28</v>
      </c>
      <c r="M171" t="s">
        <v>20</v>
      </c>
    </row>
    <row r="172" spans="1:13" x14ac:dyDescent="0.25">
      <c r="A172" t="s">
        <v>351</v>
      </c>
      <c r="B172" t="str">
        <f>TEXT(PharmacyData[[#This Row],[Date2]],"mmm")</f>
        <v>Jul</v>
      </c>
      <c r="C172" t="s">
        <v>64</v>
      </c>
      <c r="D172" t="s">
        <v>40</v>
      </c>
      <c r="E172" t="s">
        <v>41</v>
      </c>
      <c r="F172" t="s">
        <v>33</v>
      </c>
      <c r="G172">
        <v>2</v>
      </c>
      <c r="H172">
        <v>2040</v>
      </c>
      <c r="I172" s="6">
        <v>4080</v>
      </c>
      <c r="J172" t="s">
        <v>34</v>
      </c>
      <c r="K172" t="s">
        <v>27</v>
      </c>
      <c r="L172" t="s">
        <v>28</v>
      </c>
      <c r="M172" t="s">
        <v>35</v>
      </c>
    </row>
    <row r="173" spans="1:13" x14ac:dyDescent="0.25">
      <c r="A173" t="s">
        <v>352</v>
      </c>
      <c r="B173" t="str">
        <f>TEXT(PharmacyData[[#This Row],[Date2]],"mmm")</f>
        <v>Feb</v>
      </c>
      <c r="C173" t="s">
        <v>307</v>
      </c>
      <c r="D173" t="s">
        <v>71</v>
      </c>
      <c r="E173" t="s">
        <v>32</v>
      </c>
      <c r="F173" t="s">
        <v>25</v>
      </c>
      <c r="G173">
        <v>1</v>
      </c>
      <c r="H173">
        <v>1425</v>
      </c>
      <c r="I173" s="6">
        <v>1425</v>
      </c>
      <c r="J173" t="s">
        <v>34</v>
      </c>
      <c r="K173" t="s">
        <v>52</v>
      </c>
      <c r="L173" t="s">
        <v>28</v>
      </c>
      <c r="M173" t="s">
        <v>43</v>
      </c>
    </row>
    <row r="174" spans="1:13" x14ac:dyDescent="0.25">
      <c r="A174" t="s">
        <v>353</v>
      </c>
      <c r="B174" t="str">
        <f>TEXT(PharmacyData[[#This Row],[Date2]],"mmm")</f>
        <v>Feb</v>
      </c>
      <c r="C174" t="s">
        <v>354</v>
      </c>
      <c r="D174" t="s">
        <v>46</v>
      </c>
      <c r="E174" t="s">
        <v>47</v>
      </c>
      <c r="F174" t="s">
        <v>16</v>
      </c>
      <c r="G174">
        <v>14</v>
      </c>
      <c r="H174">
        <v>3163</v>
      </c>
      <c r="I174" s="6">
        <v>44282</v>
      </c>
      <c r="J174" t="s">
        <v>34</v>
      </c>
      <c r="K174" t="s">
        <v>18</v>
      </c>
      <c r="L174" t="s">
        <v>19</v>
      </c>
      <c r="M174" t="s">
        <v>20</v>
      </c>
    </row>
    <row r="175" spans="1:13" x14ac:dyDescent="0.25">
      <c r="A175" t="s">
        <v>355</v>
      </c>
      <c r="B175" t="str">
        <f>TEXT(PharmacyData[[#This Row],[Date2]],"mmm")</f>
        <v>Jan</v>
      </c>
      <c r="C175" t="s">
        <v>356</v>
      </c>
      <c r="D175" t="s">
        <v>65</v>
      </c>
      <c r="E175" t="s">
        <v>66</v>
      </c>
      <c r="F175" t="s">
        <v>16</v>
      </c>
      <c r="G175">
        <v>14</v>
      </c>
      <c r="H175">
        <v>3641</v>
      </c>
      <c r="I175" s="6">
        <v>50974</v>
      </c>
      <c r="J175" t="s">
        <v>42</v>
      </c>
      <c r="K175" t="s">
        <v>27</v>
      </c>
      <c r="L175" t="s">
        <v>19</v>
      </c>
      <c r="M175" t="s">
        <v>35</v>
      </c>
    </row>
    <row r="176" spans="1:13" x14ac:dyDescent="0.25">
      <c r="A176" t="s">
        <v>357</v>
      </c>
      <c r="B176" t="str">
        <f>TEXT(PharmacyData[[#This Row],[Date2]],"mmm")</f>
        <v>Apr</v>
      </c>
      <c r="C176" t="s">
        <v>158</v>
      </c>
      <c r="D176" t="s">
        <v>71</v>
      </c>
      <c r="E176" t="s">
        <v>32</v>
      </c>
      <c r="F176" t="s">
        <v>33</v>
      </c>
      <c r="G176">
        <v>6</v>
      </c>
      <c r="H176">
        <v>4411</v>
      </c>
      <c r="I176" s="6">
        <v>26466</v>
      </c>
      <c r="J176" t="s">
        <v>26</v>
      </c>
      <c r="K176" t="s">
        <v>52</v>
      </c>
      <c r="L176" t="s">
        <v>28</v>
      </c>
      <c r="M176" t="s">
        <v>35</v>
      </c>
    </row>
    <row r="177" spans="1:13" x14ac:dyDescent="0.25">
      <c r="A177" t="s">
        <v>358</v>
      </c>
      <c r="B177" t="str">
        <f>TEXT(PharmacyData[[#This Row],[Date2]],"mmm")</f>
        <v>Dec</v>
      </c>
      <c r="C177" t="s">
        <v>75</v>
      </c>
      <c r="D177" t="s">
        <v>31</v>
      </c>
      <c r="E177" t="s">
        <v>32</v>
      </c>
      <c r="F177" t="s">
        <v>58</v>
      </c>
      <c r="G177">
        <v>13</v>
      </c>
      <c r="H177">
        <v>2098</v>
      </c>
      <c r="I177" s="6">
        <v>27274</v>
      </c>
      <c r="J177" t="s">
        <v>42</v>
      </c>
      <c r="K177" t="s">
        <v>18</v>
      </c>
      <c r="L177" t="s">
        <v>28</v>
      </c>
      <c r="M177" t="s">
        <v>35</v>
      </c>
    </row>
    <row r="178" spans="1:13" x14ac:dyDescent="0.25">
      <c r="A178" t="s">
        <v>359</v>
      </c>
      <c r="B178" t="str">
        <f>TEXT(PharmacyData[[#This Row],[Date2]],"mmm")</f>
        <v>Jun</v>
      </c>
      <c r="C178" t="s">
        <v>348</v>
      </c>
      <c r="D178" t="s">
        <v>71</v>
      </c>
      <c r="E178" t="s">
        <v>32</v>
      </c>
      <c r="F178" t="s">
        <v>16</v>
      </c>
      <c r="G178">
        <v>1</v>
      </c>
      <c r="H178">
        <v>2973</v>
      </c>
      <c r="I178" s="6">
        <v>2973</v>
      </c>
      <c r="J178" t="s">
        <v>17</v>
      </c>
      <c r="K178" t="s">
        <v>52</v>
      </c>
      <c r="L178" t="s">
        <v>28</v>
      </c>
      <c r="M178" t="s">
        <v>43</v>
      </c>
    </row>
    <row r="179" spans="1:13" x14ac:dyDescent="0.25">
      <c r="A179" t="s">
        <v>360</v>
      </c>
      <c r="B179" t="str">
        <f>TEXT(PharmacyData[[#This Row],[Date2]],"mmm")</f>
        <v>Jan</v>
      </c>
      <c r="C179" t="s">
        <v>361</v>
      </c>
      <c r="D179" t="s">
        <v>71</v>
      </c>
      <c r="E179" t="s">
        <v>32</v>
      </c>
      <c r="F179" t="s">
        <v>58</v>
      </c>
      <c r="G179">
        <v>3</v>
      </c>
      <c r="H179">
        <v>1073</v>
      </c>
      <c r="I179" s="6">
        <v>3219</v>
      </c>
      <c r="J179" t="s">
        <v>55</v>
      </c>
      <c r="K179" t="s">
        <v>18</v>
      </c>
      <c r="L179" t="s">
        <v>28</v>
      </c>
      <c r="M179" t="s">
        <v>43</v>
      </c>
    </row>
    <row r="180" spans="1:13" x14ac:dyDescent="0.25">
      <c r="A180" t="s">
        <v>362</v>
      </c>
      <c r="B180" t="str">
        <f>TEXT(PharmacyData[[#This Row],[Date2]],"mmm")</f>
        <v>Apr</v>
      </c>
      <c r="C180" t="s">
        <v>94</v>
      </c>
      <c r="D180" t="s">
        <v>14</v>
      </c>
      <c r="E180" t="s">
        <v>15</v>
      </c>
      <c r="F180" t="s">
        <v>25</v>
      </c>
      <c r="G180">
        <v>6</v>
      </c>
      <c r="H180">
        <v>4989</v>
      </c>
      <c r="I180" s="6">
        <v>29934</v>
      </c>
      <c r="J180" t="s">
        <v>34</v>
      </c>
      <c r="K180" t="s">
        <v>18</v>
      </c>
      <c r="L180" t="s">
        <v>19</v>
      </c>
      <c r="M180" t="s">
        <v>20</v>
      </c>
    </row>
    <row r="181" spans="1:13" x14ac:dyDescent="0.25">
      <c r="A181" t="s">
        <v>363</v>
      </c>
      <c r="B181" t="str">
        <f>TEXT(PharmacyData[[#This Row],[Date2]],"mmm")</f>
        <v>May</v>
      </c>
      <c r="C181" t="s">
        <v>364</v>
      </c>
      <c r="D181" t="s">
        <v>65</v>
      </c>
      <c r="E181" t="s">
        <v>66</v>
      </c>
      <c r="F181" t="s">
        <v>58</v>
      </c>
      <c r="G181">
        <v>4</v>
      </c>
      <c r="H181">
        <v>1126</v>
      </c>
      <c r="I181" s="6">
        <v>4504</v>
      </c>
      <c r="J181" t="s">
        <v>55</v>
      </c>
      <c r="K181" t="s">
        <v>18</v>
      </c>
      <c r="L181" t="s">
        <v>19</v>
      </c>
      <c r="M181" t="s">
        <v>20</v>
      </c>
    </row>
    <row r="182" spans="1:13" x14ac:dyDescent="0.25">
      <c r="A182" t="s">
        <v>365</v>
      </c>
      <c r="B182" t="str">
        <f>TEXT(PharmacyData[[#This Row],[Date2]],"mmm")</f>
        <v>Oct</v>
      </c>
      <c r="C182" t="s">
        <v>366</v>
      </c>
      <c r="D182" t="s">
        <v>105</v>
      </c>
      <c r="E182" t="s">
        <v>106</v>
      </c>
      <c r="F182" t="s">
        <v>25</v>
      </c>
      <c r="G182">
        <v>15</v>
      </c>
      <c r="H182">
        <v>2896</v>
      </c>
      <c r="I182" s="6">
        <v>43440</v>
      </c>
      <c r="J182" t="s">
        <v>26</v>
      </c>
      <c r="K182" t="s">
        <v>52</v>
      </c>
      <c r="L182" t="s">
        <v>19</v>
      </c>
      <c r="M182" t="s">
        <v>20</v>
      </c>
    </row>
    <row r="183" spans="1:13" x14ac:dyDescent="0.25">
      <c r="A183" t="s">
        <v>367</v>
      </c>
      <c r="B183" t="str">
        <f>TEXT(PharmacyData[[#This Row],[Date2]],"mmm")</f>
        <v>Jul</v>
      </c>
      <c r="C183" t="s">
        <v>368</v>
      </c>
      <c r="D183" t="s">
        <v>82</v>
      </c>
      <c r="E183" t="s">
        <v>15</v>
      </c>
      <c r="F183" t="s">
        <v>33</v>
      </c>
      <c r="G183">
        <v>3</v>
      </c>
      <c r="H183">
        <v>1774</v>
      </c>
      <c r="I183" s="6">
        <v>5322</v>
      </c>
      <c r="J183" t="s">
        <v>26</v>
      </c>
      <c r="K183" t="s">
        <v>27</v>
      </c>
      <c r="L183" t="s">
        <v>28</v>
      </c>
      <c r="M183" t="s">
        <v>43</v>
      </c>
    </row>
    <row r="184" spans="1:13" x14ac:dyDescent="0.25">
      <c r="A184" t="s">
        <v>369</v>
      </c>
      <c r="B184" t="str">
        <f>TEXT(PharmacyData[[#This Row],[Date2]],"mmm")</f>
        <v>Nov</v>
      </c>
      <c r="C184" t="s">
        <v>370</v>
      </c>
      <c r="D184" t="s">
        <v>40</v>
      </c>
      <c r="E184" t="s">
        <v>41</v>
      </c>
      <c r="F184" t="s">
        <v>25</v>
      </c>
      <c r="G184">
        <v>1</v>
      </c>
      <c r="H184">
        <v>4046</v>
      </c>
      <c r="I184" s="6">
        <v>4046</v>
      </c>
      <c r="J184" t="s">
        <v>17</v>
      </c>
      <c r="K184" t="s">
        <v>18</v>
      </c>
      <c r="L184" t="s">
        <v>28</v>
      </c>
      <c r="M184" t="s">
        <v>35</v>
      </c>
    </row>
    <row r="185" spans="1:13" x14ac:dyDescent="0.25">
      <c r="A185" t="s">
        <v>371</v>
      </c>
      <c r="B185" t="str">
        <f>TEXT(PharmacyData[[#This Row],[Date2]],"mmm")</f>
        <v>Jun</v>
      </c>
      <c r="C185" t="s">
        <v>372</v>
      </c>
      <c r="D185" t="s">
        <v>71</v>
      </c>
      <c r="E185" t="s">
        <v>32</v>
      </c>
      <c r="F185" t="s">
        <v>58</v>
      </c>
      <c r="G185">
        <v>10</v>
      </c>
      <c r="H185">
        <v>2080</v>
      </c>
      <c r="I185" s="6">
        <v>20800</v>
      </c>
      <c r="J185" t="s">
        <v>34</v>
      </c>
      <c r="K185" t="s">
        <v>27</v>
      </c>
      <c r="L185" t="s">
        <v>19</v>
      </c>
      <c r="M185" t="s">
        <v>35</v>
      </c>
    </row>
    <row r="186" spans="1:13" x14ac:dyDescent="0.25">
      <c r="A186" t="s">
        <v>373</v>
      </c>
      <c r="B186" t="str">
        <f>TEXT(PharmacyData[[#This Row],[Date2]],"mmm")</f>
        <v>Aug</v>
      </c>
      <c r="C186" t="s">
        <v>374</v>
      </c>
      <c r="D186" t="s">
        <v>31</v>
      </c>
      <c r="E186" t="s">
        <v>32</v>
      </c>
      <c r="F186" t="s">
        <v>16</v>
      </c>
      <c r="G186">
        <v>8</v>
      </c>
      <c r="H186">
        <v>2115</v>
      </c>
      <c r="I186" s="6">
        <v>16920</v>
      </c>
      <c r="J186" t="s">
        <v>26</v>
      </c>
      <c r="K186" t="s">
        <v>27</v>
      </c>
      <c r="L186" t="s">
        <v>28</v>
      </c>
      <c r="M186" t="s">
        <v>35</v>
      </c>
    </row>
    <row r="187" spans="1:13" x14ac:dyDescent="0.25">
      <c r="A187" t="s">
        <v>375</v>
      </c>
      <c r="B187" t="str">
        <f>TEXT(PharmacyData[[#This Row],[Date2]],"mmm")</f>
        <v>Mar</v>
      </c>
      <c r="C187" t="s">
        <v>376</v>
      </c>
      <c r="D187" t="s">
        <v>31</v>
      </c>
      <c r="E187" t="s">
        <v>32</v>
      </c>
      <c r="F187" t="s">
        <v>33</v>
      </c>
      <c r="G187">
        <v>14</v>
      </c>
      <c r="H187">
        <v>2430</v>
      </c>
      <c r="I187" s="6">
        <v>34020</v>
      </c>
      <c r="J187" t="s">
        <v>55</v>
      </c>
      <c r="K187" t="s">
        <v>52</v>
      </c>
      <c r="L187" t="s">
        <v>28</v>
      </c>
      <c r="M187" t="s">
        <v>35</v>
      </c>
    </row>
    <row r="188" spans="1:13" x14ac:dyDescent="0.25">
      <c r="A188" t="s">
        <v>377</v>
      </c>
      <c r="B188" t="str">
        <f>TEXT(PharmacyData[[#This Row],[Date2]],"mmm")</f>
        <v>Feb</v>
      </c>
      <c r="C188" t="s">
        <v>177</v>
      </c>
      <c r="D188" t="s">
        <v>23</v>
      </c>
      <c r="E188" t="s">
        <v>24</v>
      </c>
      <c r="F188" t="s">
        <v>58</v>
      </c>
      <c r="G188">
        <v>8</v>
      </c>
      <c r="H188">
        <v>1022</v>
      </c>
      <c r="I188" s="6">
        <v>8176</v>
      </c>
      <c r="J188" t="s">
        <v>55</v>
      </c>
      <c r="K188" t="s">
        <v>52</v>
      </c>
      <c r="L188" t="s">
        <v>19</v>
      </c>
      <c r="M188" t="s">
        <v>20</v>
      </c>
    </row>
    <row r="189" spans="1:13" x14ac:dyDescent="0.25">
      <c r="A189" t="s">
        <v>378</v>
      </c>
      <c r="B189" t="str">
        <f>TEXT(PharmacyData[[#This Row],[Date2]],"mmm")</f>
        <v>Apr</v>
      </c>
      <c r="C189" t="s">
        <v>379</v>
      </c>
      <c r="D189" t="s">
        <v>82</v>
      </c>
      <c r="E189" t="s">
        <v>15</v>
      </c>
      <c r="F189" t="s">
        <v>25</v>
      </c>
      <c r="G189">
        <v>6</v>
      </c>
      <c r="H189">
        <v>3724</v>
      </c>
      <c r="I189" s="6">
        <v>22344</v>
      </c>
      <c r="J189" t="s">
        <v>34</v>
      </c>
      <c r="K189" t="s">
        <v>27</v>
      </c>
      <c r="L189" t="s">
        <v>28</v>
      </c>
      <c r="M189" t="s">
        <v>35</v>
      </c>
    </row>
    <row r="190" spans="1:13" x14ac:dyDescent="0.25">
      <c r="A190" t="s">
        <v>380</v>
      </c>
      <c r="B190" t="str">
        <f>TEXT(PharmacyData[[#This Row],[Date2]],"mmm")</f>
        <v>Dec</v>
      </c>
      <c r="C190" t="s">
        <v>381</v>
      </c>
      <c r="D190" t="s">
        <v>40</v>
      </c>
      <c r="E190" t="s">
        <v>41</v>
      </c>
      <c r="F190" t="s">
        <v>58</v>
      </c>
      <c r="G190">
        <v>10</v>
      </c>
      <c r="H190">
        <v>3641</v>
      </c>
      <c r="I190" s="6">
        <v>36410</v>
      </c>
      <c r="J190" t="s">
        <v>55</v>
      </c>
      <c r="K190" t="s">
        <v>27</v>
      </c>
      <c r="L190" t="s">
        <v>28</v>
      </c>
      <c r="M190" t="s">
        <v>43</v>
      </c>
    </row>
    <row r="191" spans="1:13" x14ac:dyDescent="0.25">
      <c r="A191" t="s">
        <v>382</v>
      </c>
      <c r="B191" t="str">
        <f>TEXT(PharmacyData[[#This Row],[Date2]],"mmm")</f>
        <v>Jun</v>
      </c>
      <c r="C191" t="s">
        <v>348</v>
      </c>
      <c r="D191" t="s">
        <v>40</v>
      </c>
      <c r="E191" t="s">
        <v>41</v>
      </c>
      <c r="F191" t="s">
        <v>16</v>
      </c>
      <c r="G191">
        <v>13</v>
      </c>
      <c r="H191">
        <v>3790</v>
      </c>
      <c r="I191" s="6">
        <v>49270</v>
      </c>
      <c r="J191" t="s">
        <v>34</v>
      </c>
      <c r="K191" t="s">
        <v>18</v>
      </c>
      <c r="L191" t="s">
        <v>28</v>
      </c>
      <c r="M191" t="s">
        <v>35</v>
      </c>
    </row>
    <row r="192" spans="1:13" x14ac:dyDescent="0.25">
      <c r="A192" t="s">
        <v>383</v>
      </c>
      <c r="B192" t="str">
        <f>TEXT(PharmacyData[[#This Row],[Date2]],"mmm")</f>
        <v>Dec</v>
      </c>
      <c r="C192" t="s">
        <v>225</v>
      </c>
      <c r="D192" t="s">
        <v>23</v>
      </c>
      <c r="E192" t="s">
        <v>24</v>
      </c>
      <c r="F192" t="s">
        <v>16</v>
      </c>
      <c r="G192">
        <v>10</v>
      </c>
      <c r="H192">
        <v>2872</v>
      </c>
      <c r="I192" s="6">
        <v>28720</v>
      </c>
      <c r="J192" t="s">
        <v>26</v>
      </c>
      <c r="K192" t="s">
        <v>52</v>
      </c>
      <c r="L192" t="s">
        <v>28</v>
      </c>
      <c r="M192" t="s">
        <v>20</v>
      </c>
    </row>
    <row r="193" spans="1:13" x14ac:dyDescent="0.25">
      <c r="A193" t="s">
        <v>384</v>
      </c>
      <c r="B193" t="str">
        <f>TEXT(PharmacyData[[#This Row],[Date2]],"mmm")</f>
        <v>Aug</v>
      </c>
      <c r="C193" t="s">
        <v>171</v>
      </c>
      <c r="D193" t="s">
        <v>71</v>
      </c>
      <c r="E193" t="s">
        <v>32</v>
      </c>
      <c r="F193" t="s">
        <v>58</v>
      </c>
      <c r="G193">
        <v>15</v>
      </c>
      <c r="H193">
        <v>805</v>
      </c>
      <c r="I193" s="6">
        <v>12075</v>
      </c>
      <c r="J193" t="s">
        <v>34</v>
      </c>
      <c r="K193" t="s">
        <v>52</v>
      </c>
      <c r="L193" t="s">
        <v>19</v>
      </c>
      <c r="M193" t="s">
        <v>20</v>
      </c>
    </row>
    <row r="194" spans="1:13" x14ac:dyDescent="0.25">
      <c r="A194" t="s">
        <v>385</v>
      </c>
      <c r="B194" t="str">
        <f>TEXT(PharmacyData[[#This Row],[Date2]],"mmm")</f>
        <v>May</v>
      </c>
      <c r="C194" t="s">
        <v>218</v>
      </c>
      <c r="D194" t="s">
        <v>71</v>
      </c>
      <c r="E194" t="s">
        <v>32</v>
      </c>
      <c r="F194" t="s">
        <v>25</v>
      </c>
      <c r="G194">
        <v>8</v>
      </c>
      <c r="H194">
        <v>2481</v>
      </c>
      <c r="I194" s="6">
        <v>19848</v>
      </c>
      <c r="J194" t="s">
        <v>42</v>
      </c>
      <c r="K194" t="s">
        <v>52</v>
      </c>
      <c r="L194" t="s">
        <v>19</v>
      </c>
      <c r="M194" t="s">
        <v>43</v>
      </c>
    </row>
    <row r="195" spans="1:13" x14ac:dyDescent="0.25">
      <c r="A195" t="s">
        <v>386</v>
      </c>
      <c r="B195" t="str">
        <f>TEXT(PharmacyData[[#This Row],[Date2]],"mmm")</f>
        <v>Nov</v>
      </c>
      <c r="C195" t="s">
        <v>336</v>
      </c>
      <c r="D195" t="s">
        <v>31</v>
      </c>
      <c r="E195" t="s">
        <v>32</v>
      </c>
      <c r="F195" t="s">
        <v>33</v>
      </c>
      <c r="G195">
        <v>12</v>
      </c>
      <c r="H195">
        <v>3744</v>
      </c>
      <c r="I195" s="6">
        <v>44928</v>
      </c>
      <c r="J195" t="s">
        <v>17</v>
      </c>
      <c r="K195" t="s">
        <v>52</v>
      </c>
      <c r="L195" t="s">
        <v>19</v>
      </c>
      <c r="M195" t="s">
        <v>35</v>
      </c>
    </row>
    <row r="196" spans="1:13" x14ac:dyDescent="0.25">
      <c r="A196" t="s">
        <v>387</v>
      </c>
      <c r="B196" t="str">
        <f>TEXT(PharmacyData[[#This Row],[Date2]],"mmm")</f>
        <v>May</v>
      </c>
      <c r="C196" t="s">
        <v>344</v>
      </c>
      <c r="D196" t="s">
        <v>71</v>
      </c>
      <c r="E196" t="s">
        <v>32</v>
      </c>
      <c r="F196" t="s">
        <v>58</v>
      </c>
      <c r="G196">
        <v>10</v>
      </c>
      <c r="H196">
        <v>2146</v>
      </c>
      <c r="I196" s="6">
        <v>21460</v>
      </c>
      <c r="J196" t="s">
        <v>55</v>
      </c>
      <c r="K196" t="s">
        <v>27</v>
      </c>
      <c r="L196" t="s">
        <v>28</v>
      </c>
      <c r="M196" t="s">
        <v>35</v>
      </c>
    </row>
    <row r="197" spans="1:13" x14ac:dyDescent="0.25">
      <c r="A197" t="s">
        <v>388</v>
      </c>
      <c r="B197" t="str">
        <f>TEXT(PharmacyData[[#This Row],[Date2]],"mmm")</f>
        <v>Feb</v>
      </c>
      <c r="C197" t="s">
        <v>316</v>
      </c>
      <c r="D197" t="s">
        <v>105</v>
      </c>
      <c r="E197" t="s">
        <v>106</v>
      </c>
      <c r="F197" t="s">
        <v>25</v>
      </c>
      <c r="G197">
        <v>11</v>
      </c>
      <c r="H197">
        <v>4005</v>
      </c>
      <c r="I197" s="6">
        <v>44055</v>
      </c>
      <c r="J197" t="s">
        <v>17</v>
      </c>
      <c r="K197" t="s">
        <v>52</v>
      </c>
      <c r="L197" t="s">
        <v>19</v>
      </c>
      <c r="M197" t="s">
        <v>20</v>
      </c>
    </row>
    <row r="198" spans="1:13" x14ac:dyDescent="0.25">
      <c r="A198" t="s">
        <v>389</v>
      </c>
      <c r="B198" t="str">
        <f>TEXT(PharmacyData[[#This Row],[Date2]],"mmm")</f>
        <v>Jan</v>
      </c>
      <c r="C198" t="s">
        <v>361</v>
      </c>
      <c r="D198" t="s">
        <v>31</v>
      </c>
      <c r="E198" t="s">
        <v>32</v>
      </c>
      <c r="F198" t="s">
        <v>33</v>
      </c>
      <c r="G198">
        <v>15</v>
      </c>
      <c r="H198">
        <v>4857</v>
      </c>
      <c r="I198" s="6">
        <v>72855</v>
      </c>
      <c r="J198" t="s">
        <v>26</v>
      </c>
      <c r="K198" t="s">
        <v>27</v>
      </c>
      <c r="L198" t="s">
        <v>28</v>
      </c>
      <c r="M198" t="s">
        <v>35</v>
      </c>
    </row>
    <row r="199" spans="1:13" x14ac:dyDescent="0.25">
      <c r="A199" t="s">
        <v>390</v>
      </c>
      <c r="B199" t="str">
        <f>TEXT(PharmacyData[[#This Row],[Date2]],"mmm")</f>
        <v>Nov</v>
      </c>
      <c r="C199" t="s">
        <v>391</v>
      </c>
      <c r="D199" t="s">
        <v>31</v>
      </c>
      <c r="E199" t="s">
        <v>32</v>
      </c>
      <c r="F199" t="s">
        <v>25</v>
      </c>
      <c r="G199">
        <v>9</v>
      </c>
      <c r="H199">
        <v>1288</v>
      </c>
      <c r="I199" s="6">
        <v>11592</v>
      </c>
      <c r="J199" t="s">
        <v>34</v>
      </c>
      <c r="K199" t="s">
        <v>52</v>
      </c>
      <c r="L199" t="s">
        <v>28</v>
      </c>
      <c r="M199" t="s">
        <v>20</v>
      </c>
    </row>
    <row r="200" spans="1:13" x14ac:dyDescent="0.25">
      <c r="A200" t="s">
        <v>392</v>
      </c>
      <c r="B200" t="str">
        <f>TEXT(PharmacyData[[#This Row],[Date2]],"mmm")</f>
        <v>Aug</v>
      </c>
      <c r="C200" t="s">
        <v>393</v>
      </c>
      <c r="D200" t="s">
        <v>46</v>
      </c>
      <c r="E200" t="s">
        <v>47</v>
      </c>
      <c r="F200" t="s">
        <v>58</v>
      </c>
      <c r="G200">
        <v>12</v>
      </c>
      <c r="H200">
        <v>2765</v>
      </c>
      <c r="I200" s="6">
        <v>33180</v>
      </c>
      <c r="J200" t="s">
        <v>55</v>
      </c>
      <c r="K200" t="s">
        <v>52</v>
      </c>
      <c r="L200" t="s">
        <v>19</v>
      </c>
      <c r="M200" t="s">
        <v>20</v>
      </c>
    </row>
    <row r="201" spans="1:13" x14ac:dyDescent="0.25">
      <c r="A201" t="s">
        <v>394</v>
      </c>
      <c r="B201" t="str">
        <f>TEXT(PharmacyData[[#This Row],[Date2]],"mmm")</f>
        <v>Jul</v>
      </c>
      <c r="C201" t="s">
        <v>395</v>
      </c>
      <c r="D201" t="s">
        <v>23</v>
      </c>
      <c r="E201" t="s">
        <v>24</v>
      </c>
      <c r="F201" t="s">
        <v>16</v>
      </c>
      <c r="G201">
        <v>14</v>
      </c>
      <c r="H201">
        <v>4869</v>
      </c>
      <c r="I201" s="6">
        <v>68166</v>
      </c>
      <c r="J201" t="s">
        <v>26</v>
      </c>
      <c r="K201" t="s">
        <v>52</v>
      </c>
      <c r="L201" t="s">
        <v>28</v>
      </c>
      <c r="M201" t="s">
        <v>20</v>
      </c>
    </row>
    <row r="202" spans="1:13" x14ac:dyDescent="0.25">
      <c r="A202" t="s">
        <v>396</v>
      </c>
      <c r="B202" t="str">
        <f>TEXT(PharmacyData[[#This Row],[Date2]],"mmm")</f>
        <v>May</v>
      </c>
      <c r="C202" t="s">
        <v>397</v>
      </c>
      <c r="D202" t="s">
        <v>40</v>
      </c>
      <c r="E202" t="s">
        <v>41</v>
      </c>
      <c r="F202" t="s">
        <v>58</v>
      </c>
      <c r="G202">
        <v>3</v>
      </c>
      <c r="H202">
        <v>1502</v>
      </c>
      <c r="I202" s="6">
        <v>4506</v>
      </c>
      <c r="J202" t="s">
        <v>42</v>
      </c>
      <c r="K202" t="s">
        <v>52</v>
      </c>
      <c r="L202" t="s">
        <v>28</v>
      </c>
      <c r="M202" t="s">
        <v>43</v>
      </c>
    </row>
    <row r="203" spans="1:13" x14ac:dyDescent="0.25">
      <c r="A203" t="s">
        <v>398</v>
      </c>
      <c r="B203" t="str">
        <f>TEXT(PharmacyData[[#This Row],[Date2]],"mmm")</f>
        <v>Oct</v>
      </c>
      <c r="C203" t="s">
        <v>399</v>
      </c>
      <c r="D203" t="s">
        <v>40</v>
      </c>
      <c r="E203" t="s">
        <v>41</v>
      </c>
      <c r="F203" t="s">
        <v>58</v>
      </c>
      <c r="G203">
        <v>14</v>
      </c>
      <c r="H203">
        <v>2658</v>
      </c>
      <c r="I203" s="6">
        <v>37212</v>
      </c>
      <c r="J203" t="s">
        <v>17</v>
      </c>
      <c r="K203" t="s">
        <v>18</v>
      </c>
      <c r="L203" t="s">
        <v>19</v>
      </c>
      <c r="M203" t="s">
        <v>20</v>
      </c>
    </row>
    <row r="204" spans="1:13" x14ac:dyDescent="0.25">
      <c r="A204" t="s">
        <v>400</v>
      </c>
      <c r="B204" t="str">
        <f>TEXT(PharmacyData[[#This Row],[Date2]],"mmm")</f>
        <v>May</v>
      </c>
      <c r="C204" t="s">
        <v>401</v>
      </c>
      <c r="D204" t="s">
        <v>82</v>
      </c>
      <c r="E204" t="s">
        <v>15</v>
      </c>
      <c r="F204" t="s">
        <v>16</v>
      </c>
      <c r="G204">
        <v>8</v>
      </c>
      <c r="H204">
        <v>2172</v>
      </c>
      <c r="I204" s="6">
        <v>17376</v>
      </c>
      <c r="J204" t="s">
        <v>34</v>
      </c>
      <c r="K204" t="s">
        <v>52</v>
      </c>
      <c r="L204" t="s">
        <v>19</v>
      </c>
      <c r="M204" t="s">
        <v>20</v>
      </c>
    </row>
    <row r="205" spans="1:13" x14ac:dyDescent="0.25">
      <c r="A205" t="s">
        <v>402</v>
      </c>
      <c r="B205" t="str">
        <f>TEXT(PharmacyData[[#This Row],[Date2]],"mmm")</f>
        <v>Aug</v>
      </c>
      <c r="C205" t="s">
        <v>403</v>
      </c>
      <c r="D205" t="s">
        <v>71</v>
      </c>
      <c r="E205" t="s">
        <v>32</v>
      </c>
      <c r="F205" t="s">
        <v>16</v>
      </c>
      <c r="G205">
        <v>7</v>
      </c>
      <c r="H205">
        <v>2901</v>
      </c>
      <c r="I205" s="6">
        <v>20307</v>
      </c>
      <c r="J205" t="s">
        <v>34</v>
      </c>
      <c r="K205" t="s">
        <v>52</v>
      </c>
      <c r="L205" t="s">
        <v>19</v>
      </c>
      <c r="M205" t="s">
        <v>35</v>
      </c>
    </row>
    <row r="206" spans="1:13" x14ac:dyDescent="0.25">
      <c r="A206" t="s">
        <v>404</v>
      </c>
      <c r="B206" t="str">
        <f>TEXT(PharmacyData[[#This Row],[Date2]],"mmm")</f>
        <v>Apr</v>
      </c>
      <c r="C206" t="s">
        <v>379</v>
      </c>
      <c r="D206" t="s">
        <v>65</v>
      </c>
      <c r="E206" t="s">
        <v>66</v>
      </c>
      <c r="F206" t="s">
        <v>33</v>
      </c>
      <c r="G206">
        <v>3</v>
      </c>
      <c r="H206">
        <v>794</v>
      </c>
      <c r="I206" s="6">
        <v>2382</v>
      </c>
      <c r="J206" t="s">
        <v>42</v>
      </c>
      <c r="K206" t="s">
        <v>18</v>
      </c>
      <c r="L206" t="s">
        <v>28</v>
      </c>
      <c r="M206" t="s">
        <v>43</v>
      </c>
    </row>
    <row r="207" spans="1:13" x14ac:dyDescent="0.25">
      <c r="A207" t="s">
        <v>405</v>
      </c>
      <c r="B207" t="str">
        <f>TEXT(PharmacyData[[#This Row],[Date2]],"mmm")</f>
        <v>Jul</v>
      </c>
      <c r="C207" t="s">
        <v>406</v>
      </c>
      <c r="D207" t="s">
        <v>46</v>
      </c>
      <c r="E207" t="s">
        <v>47</v>
      </c>
      <c r="F207" t="s">
        <v>33</v>
      </c>
      <c r="G207">
        <v>1</v>
      </c>
      <c r="H207">
        <v>4095</v>
      </c>
      <c r="I207" s="6">
        <v>4095</v>
      </c>
      <c r="J207" t="s">
        <v>17</v>
      </c>
      <c r="K207" t="s">
        <v>52</v>
      </c>
      <c r="L207" t="s">
        <v>19</v>
      </c>
      <c r="M207" t="s">
        <v>35</v>
      </c>
    </row>
    <row r="208" spans="1:13" x14ac:dyDescent="0.25">
      <c r="A208" t="s">
        <v>407</v>
      </c>
      <c r="B208" t="str">
        <f>TEXT(PharmacyData[[#This Row],[Date2]],"mmm")</f>
        <v>Nov</v>
      </c>
      <c r="C208" t="s">
        <v>129</v>
      </c>
      <c r="D208" t="s">
        <v>31</v>
      </c>
      <c r="E208" t="s">
        <v>32</v>
      </c>
      <c r="F208" t="s">
        <v>58</v>
      </c>
      <c r="G208">
        <v>13</v>
      </c>
      <c r="H208">
        <v>3409</v>
      </c>
      <c r="I208" s="6">
        <v>44317</v>
      </c>
      <c r="J208" t="s">
        <v>26</v>
      </c>
      <c r="K208" t="s">
        <v>27</v>
      </c>
      <c r="L208" t="s">
        <v>28</v>
      </c>
      <c r="M208" t="s">
        <v>20</v>
      </c>
    </row>
    <row r="209" spans="1:13" x14ac:dyDescent="0.25">
      <c r="A209" t="s">
        <v>408</v>
      </c>
      <c r="B209" t="str">
        <f>TEXT(PharmacyData[[#This Row],[Date2]],"mmm")</f>
        <v>May</v>
      </c>
      <c r="C209" t="s">
        <v>409</v>
      </c>
      <c r="D209" t="s">
        <v>105</v>
      </c>
      <c r="E209" t="s">
        <v>106</v>
      </c>
      <c r="F209" t="s">
        <v>25</v>
      </c>
      <c r="G209">
        <v>5</v>
      </c>
      <c r="H209">
        <v>1978</v>
      </c>
      <c r="I209" s="6">
        <v>9890</v>
      </c>
      <c r="J209" t="s">
        <v>26</v>
      </c>
      <c r="K209" t="s">
        <v>52</v>
      </c>
      <c r="L209" t="s">
        <v>19</v>
      </c>
      <c r="M209" t="s">
        <v>35</v>
      </c>
    </row>
    <row r="210" spans="1:13" x14ac:dyDescent="0.25">
      <c r="A210" t="s">
        <v>410</v>
      </c>
      <c r="B210" t="str">
        <f>TEXT(PharmacyData[[#This Row],[Date2]],"mmm")</f>
        <v>Apr</v>
      </c>
      <c r="C210" t="s">
        <v>84</v>
      </c>
      <c r="D210" t="s">
        <v>46</v>
      </c>
      <c r="E210" t="s">
        <v>47</v>
      </c>
      <c r="F210" t="s">
        <v>33</v>
      </c>
      <c r="G210">
        <v>3</v>
      </c>
      <c r="H210">
        <v>1161</v>
      </c>
      <c r="I210" s="6">
        <v>3483</v>
      </c>
      <c r="J210" t="s">
        <v>55</v>
      </c>
      <c r="K210" t="s">
        <v>27</v>
      </c>
      <c r="L210" t="s">
        <v>19</v>
      </c>
      <c r="M210" t="s">
        <v>35</v>
      </c>
    </row>
    <row r="211" spans="1:13" x14ac:dyDescent="0.25">
      <c r="A211" t="s">
        <v>411</v>
      </c>
      <c r="B211" t="str">
        <f>TEXT(PharmacyData[[#This Row],[Date2]],"mmm")</f>
        <v>Nov</v>
      </c>
      <c r="C211" t="s">
        <v>319</v>
      </c>
      <c r="D211" t="s">
        <v>65</v>
      </c>
      <c r="E211" t="s">
        <v>66</v>
      </c>
      <c r="F211" t="s">
        <v>16</v>
      </c>
      <c r="G211">
        <v>14</v>
      </c>
      <c r="H211">
        <v>2082</v>
      </c>
      <c r="I211" s="6">
        <v>29148</v>
      </c>
      <c r="J211" t="s">
        <v>55</v>
      </c>
      <c r="K211" t="s">
        <v>52</v>
      </c>
      <c r="L211" t="s">
        <v>28</v>
      </c>
      <c r="M211" t="s">
        <v>20</v>
      </c>
    </row>
    <row r="212" spans="1:13" x14ac:dyDescent="0.25">
      <c r="A212" t="s">
        <v>412</v>
      </c>
      <c r="B212" t="str">
        <f>TEXT(PharmacyData[[#This Row],[Date2]],"mmm")</f>
        <v>Nov</v>
      </c>
      <c r="C212" t="s">
        <v>319</v>
      </c>
      <c r="D212" t="s">
        <v>23</v>
      </c>
      <c r="E212" t="s">
        <v>24</v>
      </c>
      <c r="F212" t="s">
        <v>25</v>
      </c>
      <c r="G212">
        <v>15</v>
      </c>
      <c r="H212">
        <v>4574</v>
      </c>
      <c r="I212" s="6">
        <v>68610</v>
      </c>
      <c r="J212" t="s">
        <v>17</v>
      </c>
      <c r="K212" t="s">
        <v>52</v>
      </c>
      <c r="L212" t="s">
        <v>28</v>
      </c>
      <c r="M212" t="s">
        <v>43</v>
      </c>
    </row>
    <row r="213" spans="1:13" x14ac:dyDescent="0.25">
      <c r="A213" t="s">
        <v>413</v>
      </c>
      <c r="B213" t="str">
        <f>TEXT(PharmacyData[[#This Row],[Date2]],"mmm")</f>
        <v>Aug</v>
      </c>
      <c r="C213" t="s">
        <v>414</v>
      </c>
      <c r="D213" t="s">
        <v>40</v>
      </c>
      <c r="E213" t="s">
        <v>41</v>
      </c>
      <c r="F213" t="s">
        <v>58</v>
      </c>
      <c r="G213">
        <v>3</v>
      </c>
      <c r="H213">
        <v>2561</v>
      </c>
      <c r="I213" s="6">
        <v>7683</v>
      </c>
      <c r="J213" t="s">
        <v>55</v>
      </c>
      <c r="K213" t="s">
        <v>52</v>
      </c>
      <c r="L213" t="s">
        <v>19</v>
      </c>
      <c r="M213" t="s">
        <v>43</v>
      </c>
    </row>
    <row r="214" spans="1:13" x14ac:dyDescent="0.25">
      <c r="A214" t="s">
        <v>415</v>
      </c>
      <c r="B214" t="str">
        <f>TEXT(PharmacyData[[#This Row],[Date2]],"mmm")</f>
        <v>Apr</v>
      </c>
      <c r="C214" t="s">
        <v>416</v>
      </c>
      <c r="D214" t="s">
        <v>105</v>
      </c>
      <c r="E214" t="s">
        <v>106</v>
      </c>
      <c r="F214" t="s">
        <v>58</v>
      </c>
      <c r="G214">
        <v>4</v>
      </c>
      <c r="H214">
        <v>4512</v>
      </c>
      <c r="I214" s="6">
        <v>18048</v>
      </c>
      <c r="J214" t="s">
        <v>26</v>
      </c>
      <c r="K214" t="s">
        <v>18</v>
      </c>
      <c r="L214" t="s">
        <v>19</v>
      </c>
      <c r="M214" t="s">
        <v>43</v>
      </c>
    </row>
    <row r="215" spans="1:13" x14ac:dyDescent="0.25">
      <c r="A215" t="s">
        <v>417</v>
      </c>
      <c r="B215" t="str">
        <f>TEXT(PharmacyData[[#This Row],[Date2]],"mmm")</f>
        <v>Sep</v>
      </c>
      <c r="C215" t="s">
        <v>418</v>
      </c>
      <c r="D215" t="s">
        <v>82</v>
      </c>
      <c r="E215" t="s">
        <v>15</v>
      </c>
      <c r="F215" t="s">
        <v>33</v>
      </c>
      <c r="G215">
        <v>6</v>
      </c>
      <c r="H215">
        <v>4442</v>
      </c>
      <c r="I215" s="6">
        <v>26652</v>
      </c>
      <c r="J215" t="s">
        <v>55</v>
      </c>
      <c r="K215" t="s">
        <v>18</v>
      </c>
      <c r="L215" t="s">
        <v>19</v>
      </c>
      <c r="M215" t="s">
        <v>20</v>
      </c>
    </row>
    <row r="216" spans="1:13" x14ac:dyDescent="0.25">
      <c r="A216" t="s">
        <v>419</v>
      </c>
      <c r="B216" t="str">
        <f>TEXT(PharmacyData[[#This Row],[Date2]],"mmm")</f>
        <v>Dec</v>
      </c>
      <c r="C216" t="s">
        <v>420</v>
      </c>
      <c r="D216" t="s">
        <v>105</v>
      </c>
      <c r="E216" t="s">
        <v>106</v>
      </c>
      <c r="F216" t="s">
        <v>25</v>
      </c>
      <c r="G216">
        <v>11</v>
      </c>
      <c r="H216">
        <v>3831</v>
      </c>
      <c r="I216" s="6">
        <v>42141</v>
      </c>
      <c r="J216" t="s">
        <v>34</v>
      </c>
      <c r="K216" t="s">
        <v>18</v>
      </c>
      <c r="L216" t="s">
        <v>19</v>
      </c>
      <c r="M216" t="s">
        <v>20</v>
      </c>
    </row>
    <row r="217" spans="1:13" x14ac:dyDescent="0.25">
      <c r="A217" t="s">
        <v>421</v>
      </c>
      <c r="B217" t="str">
        <f>TEXT(PharmacyData[[#This Row],[Date2]],"mmm")</f>
        <v>Feb</v>
      </c>
      <c r="C217" t="s">
        <v>422</v>
      </c>
      <c r="D217" t="s">
        <v>46</v>
      </c>
      <c r="E217" t="s">
        <v>47</v>
      </c>
      <c r="F217" t="s">
        <v>25</v>
      </c>
      <c r="G217">
        <v>10</v>
      </c>
      <c r="H217">
        <v>1415</v>
      </c>
      <c r="I217" s="6">
        <v>14150</v>
      </c>
      <c r="J217" t="s">
        <v>17</v>
      </c>
      <c r="K217" t="s">
        <v>27</v>
      </c>
      <c r="L217" t="s">
        <v>28</v>
      </c>
      <c r="M217" t="s">
        <v>35</v>
      </c>
    </row>
    <row r="218" spans="1:13" x14ac:dyDescent="0.25">
      <c r="A218" t="s">
        <v>423</v>
      </c>
      <c r="B218" t="str">
        <f>TEXT(PharmacyData[[#This Row],[Date2]],"mmm")</f>
        <v>Jul</v>
      </c>
      <c r="C218" t="s">
        <v>424</v>
      </c>
      <c r="D218" t="s">
        <v>65</v>
      </c>
      <c r="E218" t="s">
        <v>66</v>
      </c>
      <c r="F218" t="s">
        <v>16</v>
      </c>
      <c r="G218">
        <v>9</v>
      </c>
      <c r="H218">
        <v>3749</v>
      </c>
      <c r="I218" s="6">
        <v>33741</v>
      </c>
      <c r="J218" t="s">
        <v>17</v>
      </c>
      <c r="K218" t="s">
        <v>18</v>
      </c>
      <c r="L218" t="s">
        <v>28</v>
      </c>
      <c r="M218" t="s">
        <v>20</v>
      </c>
    </row>
    <row r="219" spans="1:13" x14ac:dyDescent="0.25">
      <c r="A219" t="s">
        <v>425</v>
      </c>
      <c r="B219" t="str">
        <f>TEXT(PharmacyData[[#This Row],[Date2]],"mmm")</f>
        <v>Mar</v>
      </c>
      <c r="C219" t="s">
        <v>340</v>
      </c>
      <c r="D219" t="s">
        <v>23</v>
      </c>
      <c r="E219" t="s">
        <v>24</v>
      </c>
      <c r="F219" t="s">
        <v>16</v>
      </c>
      <c r="G219">
        <v>6</v>
      </c>
      <c r="H219">
        <v>4708</v>
      </c>
      <c r="I219" s="6">
        <v>28248</v>
      </c>
      <c r="J219" t="s">
        <v>34</v>
      </c>
      <c r="K219" t="s">
        <v>18</v>
      </c>
      <c r="L219" t="s">
        <v>28</v>
      </c>
      <c r="M219" t="s">
        <v>43</v>
      </c>
    </row>
    <row r="220" spans="1:13" x14ac:dyDescent="0.25">
      <c r="A220" t="s">
        <v>426</v>
      </c>
      <c r="B220" t="str">
        <f>TEXT(PharmacyData[[#This Row],[Date2]],"mmm")</f>
        <v>Apr</v>
      </c>
      <c r="C220" t="s">
        <v>73</v>
      </c>
      <c r="D220" t="s">
        <v>105</v>
      </c>
      <c r="E220" t="s">
        <v>106</v>
      </c>
      <c r="F220" t="s">
        <v>33</v>
      </c>
      <c r="G220">
        <v>15</v>
      </c>
      <c r="H220">
        <v>3110</v>
      </c>
      <c r="I220" s="6">
        <v>46650</v>
      </c>
      <c r="J220" t="s">
        <v>34</v>
      </c>
      <c r="K220" t="s">
        <v>18</v>
      </c>
      <c r="L220" t="s">
        <v>19</v>
      </c>
      <c r="M220" t="s">
        <v>20</v>
      </c>
    </row>
    <row r="221" spans="1:13" x14ac:dyDescent="0.25">
      <c r="A221" t="s">
        <v>427</v>
      </c>
      <c r="B221" t="str">
        <f>TEXT(PharmacyData[[#This Row],[Date2]],"mmm")</f>
        <v>Sep</v>
      </c>
      <c r="C221" t="s">
        <v>428</v>
      </c>
      <c r="D221" t="s">
        <v>23</v>
      </c>
      <c r="E221" t="s">
        <v>24</v>
      </c>
      <c r="F221" t="s">
        <v>25</v>
      </c>
      <c r="G221">
        <v>8</v>
      </c>
      <c r="H221">
        <v>2830</v>
      </c>
      <c r="I221" s="6">
        <v>22640</v>
      </c>
      <c r="J221" t="s">
        <v>42</v>
      </c>
      <c r="K221" t="s">
        <v>52</v>
      </c>
      <c r="L221" t="s">
        <v>28</v>
      </c>
      <c r="M221" t="s">
        <v>20</v>
      </c>
    </row>
    <row r="222" spans="1:13" x14ac:dyDescent="0.25">
      <c r="A222" t="s">
        <v>429</v>
      </c>
      <c r="B222" t="str">
        <f>TEXT(PharmacyData[[#This Row],[Date2]],"mmm")</f>
        <v>Mar</v>
      </c>
      <c r="C222" t="s">
        <v>187</v>
      </c>
      <c r="D222" t="s">
        <v>82</v>
      </c>
      <c r="E222" t="s">
        <v>15</v>
      </c>
      <c r="F222" t="s">
        <v>16</v>
      </c>
      <c r="G222">
        <v>1</v>
      </c>
      <c r="H222">
        <v>1960</v>
      </c>
      <c r="I222" s="6">
        <v>1960</v>
      </c>
      <c r="J222" t="s">
        <v>26</v>
      </c>
      <c r="K222" t="s">
        <v>52</v>
      </c>
      <c r="L222" t="s">
        <v>19</v>
      </c>
      <c r="M222" t="s">
        <v>20</v>
      </c>
    </row>
    <row r="223" spans="1:13" x14ac:dyDescent="0.25">
      <c r="A223" t="s">
        <v>430</v>
      </c>
      <c r="B223" t="str">
        <f>TEXT(PharmacyData[[#This Row],[Date2]],"mmm")</f>
        <v>Jan</v>
      </c>
      <c r="C223" t="s">
        <v>356</v>
      </c>
      <c r="D223" t="s">
        <v>71</v>
      </c>
      <c r="E223" t="s">
        <v>32</v>
      </c>
      <c r="F223" t="s">
        <v>16</v>
      </c>
      <c r="G223">
        <v>2</v>
      </c>
      <c r="H223">
        <v>2963</v>
      </c>
      <c r="I223" s="6">
        <v>5926</v>
      </c>
      <c r="J223" t="s">
        <v>26</v>
      </c>
      <c r="K223" t="s">
        <v>18</v>
      </c>
      <c r="L223" t="s">
        <v>19</v>
      </c>
      <c r="M223" t="s">
        <v>20</v>
      </c>
    </row>
    <row r="224" spans="1:13" x14ac:dyDescent="0.25">
      <c r="A224" t="s">
        <v>431</v>
      </c>
      <c r="B224" t="str">
        <f>TEXT(PharmacyData[[#This Row],[Date2]],"mmm")</f>
        <v>Dec</v>
      </c>
      <c r="C224" t="s">
        <v>70</v>
      </c>
      <c r="D224" t="s">
        <v>71</v>
      </c>
      <c r="E224" t="s">
        <v>32</v>
      </c>
      <c r="F224" t="s">
        <v>33</v>
      </c>
      <c r="G224">
        <v>4</v>
      </c>
      <c r="H224">
        <v>1317</v>
      </c>
      <c r="I224" s="6">
        <v>5268</v>
      </c>
      <c r="J224" t="s">
        <v>17</v>
      </c>
      <c r="K224" t="s">
        <v>18</v>
      </c>
      <c r="L224" t="s">
        <v>19</v>
      </c>
      <c r="M224" t="s">
        <v>43</v>
      </c>
    </row>
    <row r="225" spans="1:13" x14ac:dyDescent="0.25">
      <c r="A225" t="s">
        <v>432</v>
      </c>
      <c r="B225" t="str">
        <f>TEXT(PharmacyData[[#This Row],[Date2]],"mmm")</f>
        <v>Oct</v>
      </c>
      <c r="C225" t="s">
        <v>228</v>
      </c>
      <c r="D225" t="s">
        <v>71</v>
      </c>
      <c r="E225" t="s">
        <v>32</v>
      </c>
      <c r="F225" t="s">
        <v>58</v>
      </c>
      <c r="G225">
        <v>7</v>
      </c>
      <c r="H225">
        <v>3948</v>
      </c>
      <c r="I225" s="6">
        <v>27636</v>
      </c>
      <c r="J225" t="s">
        <v>17</v>
      </c>
      <c r="K225" t="s">
        <v>18</v>
      </c>
      <c r="L225" t="s">
        <v>28</v>
      </c>
      <c r="M225" t="s">
        <v>20</v>
      </c>
    </row>
    <row r="226" spans="1:13" x14ac:dyDescent="0.25">
      <c r="A226" t="s">
        <v>433</v>
      </c>
      <c r="B226" t="str">
        <f>TEXT(PharmacyData[[#This Row],[Date2]],"mmm")</f>
        <v>Jul</v>
      </c>
      <c r="C226" t="s">
        <v>434</v>
      </c>
      <c r="D226" t="s">
        <v>31</v>
      </c>
      <c r="E226" t="s">
        <v>32</v>
      </c>
      <c r="F226" t="s">
        <v>58</v>
      </c>
      <c r="G226">
        <v>9</v>
      </c>
      <c r="H226">
        <v>1859</v>
      </c>
      <c r="I226" s="6">
        <v>16731</v>
      </c>
      <c r="J226" t="s">
        <v>17</v>
      </c>
      <c r="K226" t="s">
        <v>52</v>
      </c>
      <c r="L226" t="s">
        <v>19</v>
      </c>
      <c r="M226" t="s">
        <v>43</v>
      </c>
    </row>
    <row r="227" spans="1:13" x14ac:dyDescent="0.25">
      <c r="A227" t="s">
        <v>435</v>
      </c>
      <c r="B227" t="str">
        <f>TEXT(PharmacyData[[#This Row],[Date2]],"mmm")</f>
        <v>Oct</v>
      </c>
      <c r="C227" t="s">
        <v>256</v>
      </c>
      <c r="D227" t="s">
        <v>65</v>
      </c>
      <c r="E227" t="s">
        <v>66</v>
      </c>
      <c r="F227" t="s">
        <v>58</v>
      </c>
      <c r="G227">
        <v>7</v>
      </c>
      <c r="H227">
        <v>1379</v>
      </c>
      <c r="I227" s="6">
        <v>9653</v>
      </c>
      <c r="J227" t="s">
        <v>17</v>
      </c>
      <c r="K227" t="s">
        <v>27</v>
      </c>
      <c r="L227" t="s">
        <v>19</v>
      </c>
      <c r="M227" t="s">
        <v>43</v>
      </c>
    </row>
    <row r="228" spans="1:13" x14ac:dyDescent="0.25">
      <c r="A228" t="s">
        <v>436</v>
      </c>
      <c r="B228" t="str">
        <f>TEXT(PharmacyData[[#This Row],[Date2]],"mmm")</f>
        <v>Nov</v>
      </c>
      <c r="C228" t="s">
        <v>437</v>
      </c>
      <c r="D228" t="s">
        <v>14</v>
      </c>
      <c r="E228" t="s">
        <v>15</v>
      </c>
      <c r="F228" t="s">
        <v>58</v>
      </c>
      <c r="G228">
        <v>4</v>
      </c>
      <c r="H228">
        <v>759</v>
      </c>
      <c r="I228" s="6">
        <v>3036</v>
      </c>
      <c r="J228" t="s">
        <v>17</v>
      </c>
      <c r="K228" t="s">
        <v>27</v>
      </c>
      <c r="L228" t="s">
        <v>19</v>
      </c>
      <c r="M228" t="s">
        <v>43</v>
      </c>
    </row>
    <row r="229" spans="1:13" x14ac:dyDescent="0.25">
      <c r="A229" t="s">
        <v>438</v>
      </c>
      <c r="B229" t="str">
        <f>TEXT(PharmacyData[[#This Row],[Date2]],"mmm")</f>
        <v>Jan</v>
      </c>
      <c r="C229" t="s">
        <v>439</v>
      </c>
      <c r="D229" t="s">
        <v>71</v>
      </c>
      <c r="E229" t="s">
        <v>32</v>
      </c>
      <c r="F229" t="s">
        <v>16</v>
      </c>
      <c r="G229">
        <v>15</v>
      </c>
      <c r="H229">
        <v>3787</v>
      </c>
      <c r="I229" s="6">
        <v>56805</v>
      </c>
      <c r="J229" t="s">
        <v>42</v>
      </c>
      <c r="K229" t="s">
        <v>18</v>
      </c>
      <c r="L229" t="s">
        <v>28</v>
      </c>
      <c r="M229" t="s">
        <v>35</v>
      </c>
    </row>
    <row r="230" spans="1:13" x14ac:dyDescent="0.25">
      <c r="A230" t="s">
        <v>440</v>
      </c>
      <c r="B230" t="str">
        <f>TEXT(PharmacyData[[#This Row],[Date2]],"mmm")</f>
        <v>Mar</v>
      </c>
      <c r="C230" t="s">
        <v>376</v>
      </c>
      <c r="D230" t="s">
        <v>40</v>
      </c>
      <c r="E230" t="s">
        <v>41</v>
      </c>
      <c r="F230" t="s">
        <v>16</v>
      </c>
      <c r="G230">
        <v>9</v>
      </c>
      <c r="H230">
        <v>2100</v>
      </c>
      <c r="I230" s="6">
        <v>18900</v>
      </c>
      <c r="J230" t="s">
        <v>17</v>
      </c>
      <c r="K230" t="s">
        <v>52</v>
      </c>
      <c r="L230" t="s">
        <v>19</v>
      </c>
      <c r="M230" t="s">
        <v>20</v>
      </c>
    </row>
    <row r="231" spans="1:13" x14ac:dyDescent="0.25">
      <c r="A231" t="s">
        <v>441</v>
      </c>
      <c r="B231" t="str">
        <f>TEXT(PharmacyData[[#This Row],[Date2]],"mmm")</f>
        <v>Sep</v>
      </c>
      <c r="C231" t="s">
        <v>442</v>
      </c>
      <c r="D231" t="s">
        <v>23</v>
      </c>
      <c r="E231" t="s">
        <v>24</v>
      </c>
      <c r="F231" t="s">
        <v>25</v>
      </c>
      <c r="G231">
        <v>14</v>
      </c>
      <c r="H231">
        <v>2899</v>
      </c>
      <c r="I231" s="6">
        <v>40586</v>
      </c>
      <c r="J231" t="s">
        <v>34</v>
      </c>
      <c r="K231" t="s">
        <v>27</v>
      </c>
      <c r="L231" t="s">
        <v>19</v>
      </c>
      <c r="M231" t="s">
        <v>35</v>
      </c>
    </row>
    <row r="232" spans="1:13" x14ac:dyDescent="0.25">
      <c r="A232" t="s">
        <v>443</v>
      </c>
      <c r="B232" t="str">
        <f>TEXT(PharmacyData[[#This Row],[Date2]],"mmm")</f>
        <v>Apr</v>
      </c>
      <c r="C232" t="s">
        <v>444</v>
      </c>
      <c r="D232" t="s">
        <v>23</v>
      </c>
      <c r="E232" t="s">
        <v>24</v>
      </c>
      <c r="F232" t="s">
        <v>33</v>
      </c>
      <c r="G232">
        <v>4</v>
      </c>
      <c r="H232">
        <v>2793</v>
      </c>
      <c r="I232" s="6">
        <v>11172</v>
      </c>
      <c r="J232" t="s">
        <v>42</v>
      </c>
      <c r="K232" t="s">
        <v>52</v>
      </c>
      <c r="L232" t="s">
        <v>28</v>
      </c>
      <c r="M232" t="s">
        <v>35</v>
      </c>
    </row>
    <row r="233" spans="1:13" x14ac:dyDescent="0.25">
      <c r="A233" t="s">
        <v>445</v>
      </c>
      <c r="B233" t="str">
        <f>TEXT(PharmacyData[[#This Row],[Date2]],"mmm")</f>
        <v>Sep</v>
      </c>
      <c r="C233" t="s">
        <v>428</v>
      </c>
      <c r="D233" t="s">
        <v>65</v>
      </c>
      <c r="E233" t="s">
        <v>66</v>
      </c>
      <c r="F233" t="s">
        <v>58</v>
      </c>
      <c r="G233">
        <v>5</v>
      </c>
      <c r="H233">
        <v>2900</v>
      </c>
      <c r="I233" s="6">
        <v>14500</v>
      </c>
      <c r="J233" t="s">
        <v>42</v>
      </c>
      <c r="K233" t="s">
        <v>52</v>
      </c>
      <c r="L233" t="s">
        <v>28</v>
      </c>
      <c r="M233" t="s">
        <v>20</v>
      </c>
    </row>
    <row r="234" spans="1:13" x14ac:dyDescent="0.25">
      <c r="A234" t="s">
        <v>446</v>
      </c>
      <c r="B234" t="str">
        <f>TEXT(PharmacyData[[#This Row],[Date2]],"mmm")</f>
        <v>Mar</v>
      </c>
      <c r="C234" t="s">
        <v>156</v>
      </c>
      <c r="D234" t="s">
        <v>14</v>
      </c>
      <c r="E234" t="s">
        <v>15</v>
      </c>
      <c r="F234" t="s">
        <v>25</v>
      </c>
      <c r="G234">
        <v>14</v>
      </c>
      <c r="H234">
        <v>409</v>
      </c>
      <c r="I234" s="6">
        <v>5726</v>
      </c>
      <c r="J234" t="s">
        <v>17</v>
      </c>
      <c r="K234" t="s">
        <v>27</v>
      </c>
      <c r="L234" t="s">
        <v>28</v>
      </c>
      <c r="M234" t="s">
        <v>43</v>
      </c>
    </row>
    <row r="235" spans="1:13" x14ac:dyDescent="0.25">
      <c r="A235" t="s">
        <v>447</v>
      </c>
      <c r="B235" t="str">
        <f>TEXT(PharmacyData[[#This Row],[Date2]],"mmm")</f>
        <v>Sep</v>
      </c>
      <c r="C235" t="s">
        <v>448</v>
      </c>
      <c r="D235" t="s">
        <v>105</v>
      </c>
      <c r="E235" t="s">
        <v>106</v>
      </c>
      <c r="F235" t="s">
        <v>33</v>
      </c>
      <c r="G235">
        <v>10</v>
      </c>
      <c r="H235">
        <v>2635</v>
      </c>
      <c r="I235" s="6">
        <v>26350</v>
      </c>
      <c r="J235" t="s">
        <v>55</v>
      </c>
      <c r="K235" t="s">
        <v>27</v>
      </c>
      <c r="L235" t="s">
        <v>19</v>
      </c>
      <c r="M235" t="s">
        <v>20</v>
      </c>
    </row>
    <row r="236" spans="1:13" x14ac:dyDescent="0.25">
      <c r="A236" t="s">
        <v>449</v>
      </c>
      <c r="B236" t="str">
        <f>TEXT(PharmacyData[[#This Row],[Date2]],"mmm")</f>
        <v>Jan</v>
      </c>
      <c r="C236" t="s">
        <v>239</v>
      </c>
      <c r="D236" t="s">
        <v>40</v>
      </c>
      <c r="E236" t="s">
        <v>41</v>
      </c>
      <c r="F236" t="s">
        <v>25</v>
      </c>
      <c r="G236">
        <v>13</v>
      </c>
      <c r="H236">
        <v>3933</v>
      </c>
      <c r="I236" s="6">
        <v>51129</v>
      </c>
      <c r="J236" t="s">
        <v>55</v>
      </c>
      <c r="K236" t="s">
        <v>52</v>
      </c>
      <c r="L236" t="s">
        <v>28</v>
      </c>
      <c r="M236" t="s">
        <v>43</v>
      </c>
    </row>
    <row r="237" spans="1:13" x14ac:dyDescent="0.25">
      <c r="A237" t="s">
        <v>450</v>
      </c>
      <c r="B237" t="str">
        <f>TEXT(PharmacyData[[#This Row],[Date2]],"mmm")</f>
        <v>Nov</v>
      </c>
      <c r="C237" t="s">
        <v>129</v>
      </c>
      <c r="D237" t="s">
        <v>105</v>
      </c>
      <c r="E237" t="s">
        <v>106</v>
      </c>
      <c r="F237" t="s">
        <v>25</v>
      </c>
      <c r="G237">
        <v>6</v>
      </c>
      <c r="H237">
        <v>3299</v>
      </c>
      <c r="I237" s="6">
        <v>19794</v>
      </c>
      <c r="J237" t="s">
        <v>55</v>
      </c>
      <c r="K237" t="s">
        <v>18</v>
      </c>
      <c r="L237" t="s">
        <v>28</v>
      </c>
      <c r="M237" t="s">
        <v>20</v>
      </c>
    </row>
    <row r="238" spans="1:13" x14ac:dyDescent="0.25">
      <c r="A238" t="s">
        <v>451</v>
      </c>
      <c r="B238" t="str">
        <f>TEXT(PharmacyData[[#This Row],[Date2]],"mmm")</f>
        <v>Oct</v>
      </c>
      <c r="C238" t="s">
        <v>452</v>
      </c>
      <c r="D238" t="s">
        <v>23</v>
      </c>
      <c r="E238" t="s">
        <v>24</v>
      </c>
      <c r="F238" t="s">
        <v>25</v>
      </c>
      <c r="G238">
        <v>6</v>
      </c>
      <c r="H238">
        <v>1708</v>
      </c>
      <c r="I238" s="6">
        <v>10248</v>
      </c>
      <c r="J238" t="s">
        <v>34</v>
      </c>
      <c r="K238" t="s">
        <v>18</v>
      </c>
      <c r="L238" t="s">
        <v>19</v>
      </c>
      <c r="M238" t="s">
        <v>20</v>
      </c>
    </row>
    <row r="239" spans="1:13" x14ac:dyDescent="0.25">
      <c r="A239" t="s">
        <v>453</v>
      </c>
      <c r="B239" t="str">
        <f>TEXT(PharmacyData[[#This Row],[Date2]],"mmm")</f>
        <v>Nov</v>
      </c>
      <c r="C239" t="s">
        <v>437</v>
      </c>
      <c r="D239" t="s">
        <v>40</v>
      </c>
      <c r="E239" t="s">
        <v>41</v>
      </c>
      <c r="F239" t="s">
        <v>58</v>
      </c>
      <c r="G239">
        <v>3</v>
      </c>
      <c r="H239">
        <v>4979</v>
      </c>
      <c r="I239" s="6">
        <v>14937</v>
      </c>
      <c r="J239" t="s">
        <v>17</v>
      </c>
      <c r="K239" t="s">
        <v>27</v>
      </c>
      <c r="L239" t="s">
        <v>28</v>
      </c>
      <c r="M239" t="s">
        <v>35</v>
      </c>
    </row>
    <row r="240" spans="1:13" x14ac:dyDescent="0.25">
      <c r="A240" t="s">
        <v>454</v>
      </c>
      <c r="B240" t="str">
        <f>TEXT(PharmacyData[[#This Row],[Date2]],"mmm")</f>
        <v>Aug</v>
      </c>
      <c r="C240" t="s">
        <v>455</v>
      </c>
      <c r="D240" t="s">
        <v>23</v>
      </c>
      <c r="E240" t="s">
        <v>24</v>
      </c>
      <c r="F240" t="s">
        <v>58</v>
      </c>
      <c r="G240">
        <v>2</v>
      </c>
      <c r="H240">
        <v>2570</v>
      </c>
      <c r="I240" s="6">
        <v>5140</v>
      </c>
      <c r="J240" t="s">
        <v>55</v>
      </c>
      <c r="K240" t="s">
        <v>18</v>
      </c>
      <c r="L240" t="s">
        <v>19</v>
      </c>
      <c r="M240" t="s">
        <v>35</v>
      </c>
    </row>
    <row r="241" spans="1:13" x14ac:dyDescent="0.25">
      <c r="A241" t="s">
        <v>456</v>
      </c>
      <c r="B241" t="str">
        <f>TEXT(PharmacyData[[#This Row],[Date2]],"mmm")</f>
        <v>Aug</v>
      </c>
      <c r="C241" t="s">
        <v>393</v>
      </c>
      <c r="D241" t="s">
        <v>105</v>
      </c>
      <c r="E241" t="s">
        <v>106</v>
      </c>
      <c r="F241" t="s">
        <v>16</v>
      </c>
      <c r="G241">
        <v>6</v>
      </c>
      <c r="H241">
        <v>3935</v>
      </c>
      <c r="I241" s="6">
        <v>23610</v>
      </c>
      <c r="J241" t="s">
        <v>42</v>
      </c>
      <c r="K241" t="s">
        <v>18</v>
      </c>
      <c r="L241" t="s">
        <v>19</v>
      </c>
      <c r="M241" t="s">
        <v>20</v>
      </c>
    </row>
    <row r="242" spans="1:13" x14ac:dyDescent="0.25">
      <c r="A242" t="s">
        <v>457</v>
      </c>
      <c r="B242" t="str">
        <f>TEXT(PharmacyData[[#This Row],[Date2]],"mmm")</f>
        <v>Apr</v>
      </c>
      <c r="C242" t="s">
        <v>233</v>
      </c>
      <c r="D242" t="s">
        <v>46</v>
      </c>
      <c r="E242" t="s">
        <v>47</v>
      </c>
      <c r="F242" t="s">
        <v>58</v>
      </c>
      <c r="G242">
        <v>8</v>
      </c>
      <c r="H242">
        <v>2153</v>
      </c>
      <c r="I242" s="6">
        <v>17224</v>
      </c>
      <c r="J242" t="s">
        <v>17</v>
      </c>
      <c r="K242" t="s">
        <v>27</v>
      </c>
      <c r="L242" t="s">
        <v>28</v>
      </c>
      <c r="M242" t="s">
        <v>43</v>
      </c>
    </row>
    <row r="243" spans="1:13" x14ac:dyDescent="0.25">
      <c r="A243" t="s">
        <v>458</v>
      </c>
      <c r="B243" t="str">
        <f>TEXT(PharmacyData[[#This Row],[Date2]],"mmm")</f>
        <v>May</v>
      </c>
      <c r="C243" t="s">
        <v>459</v>
      </c>
      <c r="D243" t="s">
        <v>23</v>
      </c>
      <c r="E243" t="s">
        <v>24</v>
      </c>
      <c r="F243" t="s">
        <v>25</v>
      </c>
      <c r="G243">
        <v>15</v>
      </c>
      <c r="H243">
        <v>2093</v>
      </c>
      <c r="I243" s="6">
        <v>31395</v>
      </c>
      <c r="J243" t="s">
        <v>34</v>
      </c>
      <c r="K243" t="s">
        <v>52</v>
      </c>
      <c r="L243" t="s">
        <v>19</v>
      </c>
      <c r="M243" t="s">
        <v>35</v>
      </c>
    </row>
    <row r="244" spans="1:13" x14ac:dyDescent="0.25">
      <c r="A244" t="s">
        <v>460</v>
      </c>
      <c r="B244" t="str">
        <f>TEXT(PharmacyData[[#This Row],[Date2]],"mmm")</f>
        <v>Aug</v>
      </c>
      <c r="C244" t="s">
        <v>455</v>
      </c>
      <c r="D244" t="s">
        <v>71</v>
      </c>
      <c r="E244" t="s">
        <v>32</v>
      </c>
      <c r="F244" t="s">
        <v>58</v>
      </c>
      <c r="G244">
        <v>9</v>
      </c>
      <c r="H244">
        <v>1461</v>
      </c>
      <c r="I244" s="6">
        <v>13149</v>
      </c>
      <c r="J244" t="s">
        <v>17</v>
      </c>
      <c r="K244" t="s">
        <v>52</v>
      </c>
      <c r="L244" t="s">
        <v>19</v>
      </c>
      <c r="M244" t="s">
        <v>43</v>
      </c>
    </row>
    <row r="245" spans="1:13" x14ac:dyDescent="0.25">
      <c r="A245" t="s">
        <v>461</v>
      </c>
      <c r="B245" t="str">
        <f>TEXT(PharmacyData[[#This Row],[Date2]],"mmm")</f>
        <v>Apr</v>
      </c>
      <c r="C245" t="s">
        <v>158</v>
      </c>
      <c r="D245" t="s">
        <v>71</v>
      </c>
      <c r="E245" t="s">
        <v>32</v>
      </c>
      <c r="F245" t="s">
        <v>25</v>
      </c>
      <c r="G245">
        <v>10</v>
      </c>
      <c r="H245">
        <v>2424</v>
      </c>
      <c r="I245" s="6">
        <v>24240</v>
      </c>
      <c r="J245" t="s">
        <v>26</v>
      </c>
      <c r="K245" t="s">
        <v>27</v>
      </c>
      <c r="L245" t="s">
        <v>28</v>
      </c>
      <c r="M245" t="s">
        <v>35</v>
      </c>
    </row>
    <row r="246" spans="1:13" x14ac:dyDescent="0.25">
      <c r="A246" t="s">
        <v>462</v>
      </c>
      <c r="B246" t="str">
        <f>TEXT(PharmacyData[[#This Row],[Date2]],"mmm")</f>
        <v>Feb</v>
      </c>
      <c r="C246" t="s">
        <v>354</v>
      </c>
      <c r="D246" t="s">
        <v>46</v>
      </c>
      <c r="E246" t="s">
        <v>47</v>
      </c>
      <c r="F246" t="s">
        <v>58</v>
      </c>
      <c r="G246">
        <v>9</v>
      </c>
      <c r="H246">
        <v>3376</v>
      </c>
      <c r="I246" s="6">
        <v>30384</v>
      </c>
      <c r="J246" t="s">
        <v>34</v>
      </c>
      <c r="K246" t="s">
        <v>27</v>
      </c>
      <c r="L246" t="s">
        <v>28</v>
      </c>
      <c r="M246" t="s">
        <v>20</v>
      </c>
    </row>
    <row r="247" spans="1:13" x14ac:dyDescent="0.25">
      <c r="A247" t="s">
        <v>463</v>
      </c>
      <c r="B247" t="str">
        <f>TEXT(PharmacyData[[#This Row],[Date2]],"mmm")</f>
        <v>Nov</v>
      </c>
      <c r="C247" t="s">
        <v>144</v>
      </c>
      <c r="D247" t="s">
        <v>23</v>
      </c>
      <c r="E247" t="s">
        <v>24</v>
      </c>
      <c r="F247" t="s">
        <v>58</v>
      </c>
      <c r="G247">
        <v>12</v>
      </c>
      <c r="H247">
        <v>1090</v>
      </c>
      <c r="I247" s="6">
        <v>13080</v>
      </c>
      <c r="J247" t="s">
        <v>34</v>
      </c>
      <c r="K247" t="s">
        <v>18</v>
      </c>
      <c r="L247" t="s">
        <v>28</v>
      </c>
      <c r="M247" t="s">
        <v>43</v>
      </c>
    </row>
    <row r="248" spans="1:13" x14ac:dyDescent="0.25">
      <c r="A248" t="s">
        <v>464</v>
      </c>
      <c r="B248" t="str">
        <f>TEXT(PharmacyData[[#This Row],[Date2]],"mmm")</f>
        <v>Jun</v>
      </c>
      <c r="C248" t="s">
        <v>465</v>
      </c>
      <c r="D248" t="s">
        <v>14</v>
      </c>
      <c r="E248" t="s">
        <v>15</v>
      </c>
      <c r="F248" t="s">
        <v>25</v>
      </c>
      <c r="G248">
        <v>15</v>
      </c>
      <c r="H248">
        <v>2658</v>
      </c>
      <c r="I248" s="6">
        <v>39870</v>
      </c>
      <c r="J248" t="s">
        <v>26</v>
      </c>
      <c r="K248" t="s">
        <v>18</v>
      </c>
      <c r="L248" t="s">
        <v>19</v>
      </c>
      <c r="M248" t="s">
        <v>43</v>
      </c>
    </row>
    <row r="249" spans="1:13" x14ac:dyDescent="0.25">
      <c r="A249" t="s">
        <v>466</v>
      </c>
      <c r="B249" t="str">
        <f>TEXT(PharmacyData[[#This Row],[Date2]],"mmm")</f>
        <v>Jan</v>
      </c>
      <c r="C249" t="s">
        <v>467</v>
      </c>
      <c r="D249" t="s">
        <v>105</v>
      </c>
      <c r="E249" t="s">
        <v>106</v>
      </c>
      <c r="F249" t="s">
        <v>33</v>
      </c>
      <c r="G249">
        <v>6</v>
      </c>
      <c r="H249">
        <v>3065</v>
      </c>
      <c r="I249" s="6">
        <v>18390</v>
      </c>
      <c r="J249" t="s">
        <v>34</v>
      </c>
      <c r="K249" t="s">
        <v>27</v>
      </c>
      <c r="L249" t="s">
        <v>19</v>
      </c>
      <c r="M249" t="s">
        <v>43</v>
      </c>
    </row>
    <row r="250" spans="1:13" x14ac:dyDescent="0.25">
      <c r="A250" t="s">
        <v>468</v>
      </c>
      <c r="B250" t="str">
        <f>TEXT(PharmacyData[[#This Row],[Date2]],"mmm")</f>
        <v>Aug</v>
      </c>
      <c r="C250" t="s">
        <v>469</v>
      </c>
      <c r="D250" t="s">
        <v>23</v>
      </c>
      <c r="E250" t="s">
        <v>24</v>
      </c>
      <c r="F250" t="s">
        <v>16</v>
      </c>
      <c r="G250">
        <v>5</v>
      </c>
      <c r="H250">
        <v>1809</v>
      </c>
      <c r="I250" s="6">
        <v>9045</v>
      </c>
      <c r="J250" t="s">
        <v>55</v>
      </c>
      <c r="K250" t="s">
        <v>27</v>
      </c>
      <c r="L250" t="s">
        <v>19</v>
      </c>
      <c r="M250" t="s">
        <v>35</v>
      </c>
    </row>
    <row r="251" spans="1:13" x14ac:dyDescent="0.25">
      <c r="A251" t="s">
        <v>470</v>
      </c>
      <c r="B251" t="str">
        <f>TEXT(PharmacyData[[#This Row],[Date2]],"mmm")</f>
        <v>Aug</v>
      </c>
      <c r="C251" t="s">
        <v>393</v>
      </c>
      <c r="D251" t="s">
        <v>46</v>
      </c>
      <c r="E251" t="s">
        <v>47</v>
      </c>
      <c r="F251" t="s">
        <v>16</v>
      </c>
      <c r="G251">
        <v>4</v>
      </c>
      <c r="H251">
        <v>2433</v>
      </c>
      <c r="I251" s="6">
        <v>9732</v>
      </c>
      <c r="J251" t="s">
        <v>26</v>
      </c>
      <c r="K251" t="s">
        <v>18</v>
      </c>
      <c r="L251" t="s">
        <v>19</v>
      </c>
      <c r="M251" t="s">
        <v>20</v>
      </c>
    </row>
    <row r="252" spans="1:13" x14ac:dyDescent="0.25">
      <c r="A252" t="s">
        <v>471</v>
      </c>
      <c r="B252" t="str">
        <f>TEXT(PharmacyData[[#This Row],[Date2]],"mmm")</f>
        <v>Jun</v>
      </c>
      <c r="C252" t="s">
        <v>332</v>
      </c>
      <c r="D252" t="s">
        <v>105</v>
      </c>
      <c r="E252" t="s">
        <v>106</v>
      </c>
      <c r="F252" t="s">
        <v>33</v>
      </c>
      <c r="G252">
        <v>7</v>
      </c>
      <c r="H252">
        <v>4531</v>
      </c>
      <c r="I252" s="6">
        <v>31717</v>
      </c>
      <c r="J252" t="s">
        <v>17</v>
      </c>
      <c r="K252" t="s">
        <v>18</v>
      </c>
      <c r="L252" t="s">
        <v>28</v>
      </c>
      <c r="M252" t="s">
        <v>43</v>
      </c>
    </row>
    <row r="253" spans="1:13" x14ac:dyDescent="0.25">
      <c r="A253" t="s">
        <v>472</v>
      </c>
      <c r="B253" t="str">
        <f>TEXT(PharmacyData[[#This Row],[Date2]],"mmm")</f>
        <v>Aug</v>
      </c>
      <c r="C253" t="s">
        <v>171</v>
      </c>
      <c r="D253" t="s">
        <v>46</v>
      </c>
      <c r="E253" t="s">
        <v>47</v>
      </c>
      <c r="F253" t="s">
        <v>33</v>
      </c>
      <c r="G253">
        <v>13</v>
      </c>
      <c r="H253">
        <v>1304</v>
      </c>
      <c r="I253" s="6">
        <v>16952</v>
      </c>
      <c r="J253" t="s">
        <v>42</v>
      </c>
      <c r="K253" t="s">
        <v>27</v>
      </c>
      <c r="L253" t="s">
        <v>28</v>
      </c>
      <c r="M253" t="s">
        <v>35</v>
      </c>
    </row>
    <row r="254" spans="1:13" x14ac:dyDescent="0.25">
      <c r="A254" t="s">
        <v>473</v>
      </c>
      <c r="B254" t="str">
        <f>TEXT(PharmacyData[[#This Row],[Date2]],"mmm")</f>
        <v>Apr</v>
      </c>
      <c r="C254" t="s">
        <v>474</v>
      </c>
      <c r="D254" t="s">
        <v>40</v>
      </c>
      <c r="E254" t="s">
        <v>41</v>
      </c>
      <c r="F254" t="s">
        <v>33</v>
      </c>
      <c r="G254">
        <v>11</v>
      </c>
      <c r="H254">
        <v>3488</v>
      </c>
      <c r="I254" s="6">
        <v>38368</v>
      </c>
      <c r="J254" t="s">
        <v>17</v>
      </c>
      <c r="K254" t="s">
        <v>27</v>
      </c>
      <c r="L254" t="s">
        <v>28</v>
      </c>
      <c r="M254" t="s">
        <v>20</v>
      </c>
    </row>
    <row r="255" spans="1:13" x14ac:dyDescent="0.25">
      <c r="A255" t="s">
        <v>475</v>
      </c>
      <c r="B255" t="str">
        <f>TEXT(PharmacyData[[#This Row],[Date2]],"mmm")</f>
        <v>Feb</v>
      </c>
      <c r="C255" t="s">
        <v>177</v>
      </c>
      <c r="D255" t="s">
        <v>105</v>
      </c>
      <c r="E255" t="s">
        <v>106</v>
      </c>
      <c r="F255" t="s">
        <v>16</v>
      </c>
      <c r="G255">
        <v>15</v>
      </c>
      <c r="H255">
        <v>2025</v>
      </c>
      <c r="I255" s="6">
        <v>30375</v>
      </c>
      <c r="J255" t="s">
        <v>17</v>
      </c>
      <c r="K255" t="s">
        <v>27</v>
      </c>
      <c r="L255" t="s">
        <v>28</v>
      </c>
      <c r="M255" t="s">
        <v>35</v>
      </c>
    </row>
    <row r="256" spans="1:13" x14ac:dyDescent="0.25">
      <c r="A256" t="s">
        <v>476</v>
      </c>
      <c r="B256" t="str">
        <f>TEXT(PharmacyData[[#This Row],[Date2]],"mmm")</f>
        <v>Feb</v>
      </c>
      <c r="C256" t="s">
        <v>477</v>
      </c>
      <c r="D256" t="s">
        <v>23</v>
      </c>
      <c r="E256" t="s">
        <v>24</v>
      </c>
      <c r="F256" t="s">
        <v>16</v>
      </c>
      <c r="G256">
        <v>12</v>
      </c>
      <c r="H256">
        <v>1715</v>
      </c>
      <c r="I256" s="6">
        <v>20580</v>
      </c>
      <c r="J256" t="s">
        <v>42</v>
      </c>
      <c r="K256" t="s">
        <v>27</v>
      </c>
      <c r="L256" t="s">
        <v>19</v>
      </c>
      <c r="M256" t="s">
        <v>20</v>
      </c>
    </row>
    <row r="257" spans="1:13" x14ac:dyDescent="0.25">
      <c r="A257" t="s">
        <v>478</v>
      </c>
      <c r="B257" t="str">
        <f>TEXT(PharmacyData[[#This Row],[Date2]],"mmm")</f>
        <v>May</v>
      </c>
      <c r="C257" t="s">
        <v>272</v>
      </c>
      <c r="D257" t="s">
        <v>65</v>
      </c>
      <c r="E257" t="s">
        <v>66</v>
      </c>
      <c r="F257" t="s">
        <v>33</v>
      </c>
      <c r="G257">
        <v>11</v>
      </c>
      <c r="H257">
        <v>4796</v>
      </c>
      <c r="I257" s="6">
        <v>52756</v>
      </c>
      <c r="J257" t="s">
        <v>55</v>
      </c>
      <c r="K257" t="s">
        <v>27</v>
      </c>
      <c r="L257" t="s">
        <v>19</v>
      </c>
      <c r="M257" t="s">
        <v>43</v>
      </c>
    </row>
    <row r="258" spans="1:13" x14ac:dyDescent="0.25">
      <c r="A258" t="s">
        <v>479</v>
      </c>
      <c r="B258" t="str">
        <f>TEXT(PharmacyData[[#This Row],[Date2]],"mmm")</f>
        <v>Apr</v>
      </c>
      <c r="C258" t="s">
        <v>480</v>
      </c>
      <c r="D258" t="s">
        <v>105</v>
      </c>
      <c r="E258" t="s">
        <v>106</v>
      </c>
      <c r="F258" t="s">
        <v>16</v>
      </c>
      <c r="G258">
        <v>11</v>
      </c>
      <c r="H258">
        <v>748</v>
      </c>
      <c r="I258" s="6">
        <v>8228</v>
      </c>
      <c r="J258" t="s">
        <v>55</v>
      </c>
      <c r="K258" t="s">
        <v>27</v>
      </c>
      <c r="L258" t="s">
        <v>28</v>
      </c>
      <c r="M258" t="s">
        <v>20</v>
      </c>
    </row>
    <row r="259" spans="1:13" x14ac:dyDescent="0.25">
      <c r="A259" t="s">
        <v>481</v>
      </c>
      <c r="B259" t="str">
        <f>TEXT(PharmacyData[[#This Row],[Date2]],"mmm")</f>
        <v>Nov</v>
      </c>
      <c r="C259" t="s">
        <v>336</v>
      </c>
      <c r="D259" t="s">
        <v>14</v>
      </c>
      <c r="E259" t="s">
        <v>15</v>
      </c>
      <c r="F259" t="s">
        <v>33</v>
      </c>
      <c r="G259">
        <v>14</v>
      </c>
      <c r="H259">
        <v>1126</v>
      </c>
      <c r="I259" s="6">
        <v>15764</v>
      </c>
      <c r="J259" t="s">
        <v>26</v>
      </c>
      <c r="K259" t="s">
        <v>27</v>
      </c>
      <c r="L259" t="s">
        <v>19</v>
      </c>
      <c r="M259" t="s">
        <v>43</v>
      </c>
    </row>
    <row r="260" spans="1:13" x14ac:dyDescent="0.25">
      <c r="A260" t="s">
        <v>482</v>
      </c>
      <c r="B260" t="str">
        <f>TEXT(PharmacyData[[#This Row],[Date2]],"mmm")</f>
        <v>Dec</v>
      </c>
      <c r="C260" t="s">
        <v>483</v>
      </c>
      <c r="D260" t="s">
        <v>31</v>
      </c>
      <c r="E260" t="s">
        <v>32</v>
      </c>
      <c r="F260" t="s">
        <v>33</v>
      </c>
      <c r="G260">
        <v>15</v>
      </c>
      <c r="H260">
        <v>2553</v>
      </c>
      <c r="I260" s="6">
        <v>38295</v>
      </c>
      <c r="J260" t="s">
        <v>26</v>
      </c>
      <c r="K260" t="s">
        <v>52</v>
      </c>
      <c r="L260" t="s">
        <v>19</v>
      </c>
      <c r="M260" t="s">
        <v>35</v>
      </c>
    </row>
    <row r="261" spans="1:13" x14ac:dyDescent="0.25">
      <c r="A261" t="s">
        <v>484</v>
      </c>
      <c r="B261" t="str">
        <f>TEXT(PharmacyData[[#This Row],[Date2]],"mmm")</f>
        <v>Dec</v>
      </c>
      <c r="C261" t="s">
        <v>199</v>
      </c>
      <c r="D261" t="s">
        <v>105</v>
      </c>
      <c r="E261" t="s">
        <v>106</v>
      </c>
      <c r="F261" t="s">
        <v>58</v>
      </c>
      <c r="G261">
        <v>14</v>
      </c>
      <c r="H261">
        <v>788</v>
      </c>
      <c r="I261" s="6">
        <v>11032</v>
      </c>
      <c r="J261" t="s">
        <v>26</v>
      </c>
      <c r="K261" t="s">
        <v>52</v>
      </c>
      <c r="L261" t="s">
        <v>19</v>
      </c>
      <c r="M261" t="s">
        <v>43</v>
      </c>
    </row>
    <row r="262" spans="1:13" x14ac:dyDescent="0.25">
      <c r="A262" t="s">
        <v>485</v>
      </c>
      <c r="B262" t="str">
        <f>TEXT(PharmacyData[[#This Row],[Date2]],"mmm")</f>
        <v>May</v>
      </c>
      <c r="C262" t="s">
        <v>486</v>
      </c>
      <c r="D262" t="s">
        <v>82</v>
      </c>
      <c r="E262" t="s">
        <v>15</v>
      </c>
      <c r="F262" t="s">
        <v>16</v>
      </c>
      <c r="G262">
        <v>4</v>
      </c>
      <c r="H262">
        <v>812</v>
      </c>
      <c r="I262" s="6">
        <v>3248</v>
      </c>
      <c r="J262" t="s">
        <v>55</v>
      </c>
      <c r="K262" t="s">
        <v>18</v>
      </c>
      <c r="L262" t="s">
        <v>19</v>
      </c>
      <c r="M262" t="s">
        <v>35</v>
      </c>
    </row>
    <row r="263" spans="1:13" x14ac:dyDescent="0.25">
      <c r="A263" t="s">
        <v>487</v>
      </c>
      <c r="B263" t="str">
        <f>TEXT(PharmacyData[[#This Row],[Date2]],"mmm")</f>
        <v>Mar</v>
      </c>
      <c r="C263" t="s">
        <v>169</v>
      </c>
      <c r="D263" t="s">
        <v>31</v>
      </c>
      <c r="E263" t="s">
        <v>32</v>
      </c>
      <c r="F263" t="s">
        <v>16</v>
      </c>
      <c r="G263">
        <v>8</v>
      </c>
      <c r="H263">
        <v>1791</v>
      </c>
      <c r="I263" s="6">
        <v>14328</v>
      </c>
      <c r="J263" t="s">
        <v>42</v>
      </c>
      <c r="K263" t="s">
        <v>18</v>
      </c>
      <c r="L263" t="s">
        <v>28</v>
      </c>
      <c r="M263" t="s">
        <v>35</v>
      </c>
    </row>
    <row r="264" spans="1:13" x14ac:dyDescent="0.25">
      <c r="A264" t="s">
        <v>488</v>
      </c>
      <c r="B264" t="str">
        <f>TEXT(PharmacyData[[#This Row],[Date2]],"mmm")</f>
        <v>Nov</v>
      </c>
      <c r="C264" t="s">
        <v>121</v>
      </c>
      <c r="D264" t="s">
        <v>46</v>
      </c>
      <c r="E264" t="s">
        <v>47</v>
      </c>
      <c r="F264" t="s">
        <v>33</v>
      </c>
      <c r="G264">
        <v>8</v>
      </c>
      <c r="H264">
        <v>2696</v>
      </c>
      <c r="I264" s="6">
        <v>21568</v>
      </c>
      <c r="J264" t="s">
        <v>26</v>
      </c>
      <c r="K264" t="s">
        <v>52</v>
      </c>
      <c r="L264" t="s">
        <v>19</v>
      </c>
      <c r="M264" t="s">
        <v>35</v>
      </c>
    </row>
    <row r="265" spans="1:13" x14ac:dyDescent="0.25">
      <c r="A265" t="s">
        <v>489</v>
      </c>
      <c r="B265" t="str">
        <f>TEXT(PharmacyData[[#This Row],[Date2]],"mmm")</f>
        <v>Sep</v>
      </c>
      <c r="C265" t="s">
        <v>278</v>
      </c>
      <c r="D265" t="s">
        <v>40</v>
      </c>
      <c r="E265" t="s">
        <v>41</v>
      </c>
      <c r="F265" t="s">
        <v>33</v>
      </c>
      <c r="G265">
        <v>5</v>
      </c>
      <c r="H265">
        <v>1226</v>
      </c>
      <c r="I265" s="6">
        <v>6130</v>
      </c>
      <c r="J265" t="s">
        <v>34</v>
      </c>
      <c r="K265" t="s">
        <v>27</v>
      </c>
      <c r="L265" t="s">
        <v>19</v>
      </c>
      <c r="M265" t="s">
        <v>20</v>
      </c>
    </row>
    <row r="266" spans="1:13" x14ac:dyDescent="0.25">
      <c r="A266" t="s">
        <v>490</v>
      </c>
      <c r="B266" t="str">
        <f>TEXT(PharmacyData[[#This Row],[Date2]],"mmm")</f>
        <v>Oct</v>
      </c>
      <c r="C266" t="s">
        <v>491</v>
      </c>
      <c r="D266" t="s">
        <v>46</v>
      </c>
      <c r="E266" t="s">
        <v>47</v>
      </c>
      <c r="F266" t="s">
        <v>33</v>
      </c>
      <c r="G266">
        <v>6</v>
      </c>
      <c r="H266">
        <v>1482</v>
      </c>
      <c r="I266" s="6">
        <v>8892</v>
      </c>
      <c r="J266" t="s">
        <v>42</v>
      </c>
      <c r="K266" t="s">
        <v>18</v>
      </c>
      <c r="L266" t="s">
        <v>19</v>
      </c>
      <c r="M266" t="s">
        <v>20</v>
      </c>
    </row>
    <row r="267" spans="1:13" x14ac:dyDescent="0.25">
      <c r="A267" t="s">
        <v>492</v>
      </c>
      <c r="B267" t="str">
        <f>TEXT(PharmacyData[[#This Row],[Date2]],"mmm")</f>
        <v>Apr</v>
      </c>
      <c r="C267" t="s">
        <v>493</v>
      </c>
      <c r="D267" t="s">
        <v>23</v>
      </c>
      <c r="E267" t="s">
        <v>24</v>
      </c>
      <c r="F267" t="s">
        <v>16</v>
      </c>
      <c r="G267">
        <v>2</v>
      </c>
      <c r="H267">
        <v>890</v>
      </c>
      <c r="I267" s="6">
        <v>1780</v>
      </c>
      <c r="J267" t="s">
        <v>26</v>
      </c>
      <c r="K267" t="s">
        <v>52</v>
      </c>
      <c r="L267" t="s">
        <v>19</v>
      </c>
      <c r="M267" t="s">
        <v>20</v>
      </c>
    </row>
    <row r="268" spans="1:13" x14ac:dyDescent="0.25">
      <c r="A268" t="s">
        <v>494</v>
      </c>
      <c r="B268" t="str">
        <f>TEXT(PharmacyData[[#This Row],[Date2]],"mmm")</f>
        <v>Sep</v>
      </c>
      <c r="C268" t="s">
        <v>495</v>
      </c>
      <c r="D268" t="s">
        <v>23</v>
      </c>
      <c r="E268" t="s">
        <v>24</v>
      </c>
      <c r="F268" t="s">
        <v>33</v>
      </c>
      <c r="G268">
        <v>11</v>
      </c>
      <c r="H268">
        <v>842</v>
      </c>
      <c r="I268" s="6">
        <v>9262</v>
      </c>
      <c r="J268" t="s">
        <v>34</v>
      </c>
      <c r="K268" t="s">
        <v>18</v>
      </c>
      <c r="L268" t="s">
        <v>19</v>
      </c>
      <c r="M268" t="s">
        <v>35</v>
      </c>
    </row>
    <row r="269" spans="1:13" x14ac:dyDescent="0.25">
      <c r="A269" t="s">
        <v>496</v>
      </c>
      <c r="B269" t="str">
        <f>TEXT(PharmacyData[[#This Row],[Date2]],"mmm")</f>
        <v>Dec</v>
      </c>
      <c r="C269" t="s">
        <v>497</v>
      </c>
      <c r="D269" t="s">
        <v>23</v>
      </c>
      <c r="E269" t="s">
        <v>24</v>
      </c>
      <c r="F269" t="s">
        <v>25</v>
      </c>
      <c r="G269">
        <v>2</v>
      </c>
      <c r="H269">
        <v>1003</v>
      </c>
      <c r="I269" s="6">
        <v>2006</v>
      </c>
      <c r="J269" t="s">
        <v>34</v>
      </c>
      <c r="K269" t="s">
        <v>52</v>
      </c>
      <c r="L269" t="s">
        <v>28</v>
      </c>
      <c r="M269" t="s">
        <v>35</v>
      </c>
    </row>
    <row r="270" spans="1:13" x14ac:dyDescent="0.25">
      <c r="A270" t="s">
        <v>498</v>
      </c>
      <c r="B270" t="str">
        <f>TEXT(PharmacyData[[#This Row],[Date2]],"mmm")</f>
        <v>Feb</v>
      </c>
      <c r="C270" t="s">
        <v>499</v>
      </c>
      <c r="D270" t="s">
        <v>31</v>
      </c>
      <c r="E270" t="s">
        <v>32</v>
      </c>
      <c r="F270" t="s">
        <v>58</v>
      </c>
      <c r="G270">
        <v>5</v>
      </c>
      <c r="H270">
        <v>2830</v>
      </c>
      <c r="I270" s="6">
        <v>14150</v>
      </c>
      <c r="J270" t="s">
        <v>17</v>
      </c>
      <c r="K270" t="s">
        <v>52</v>
      </c>
      <c r="L270" t="s">
        <v>19</v>
      </c>
      <c r="M270" t="s">
        <v>43</v>
      </c>
    </row>
    <row r="271" spans="1:13" x14ac:dyDescent="0.25">
      <c r="A271" t="s">
        <v>500</v>
      </c>
      <c r="B271" t="str">
        <f>TEXT(PharmacyData[[#This Row],[Date2]],"mmm")</f>
        <v>Mar</v>
      </c>
      <c r="C271" t="s">
        <v>501</v>
      </c>
      <c r="D271" t="s">
        <v>23</v>
      </c>
      <c r="E271" t="s">
        <v>24</v>
      </c>
      <c r="F271" t="s">
        <v>33</v>
      </c>
      <c r="G271">
        <v>8</v>
      </c>
      <c r="H271">
        <v>2652</v>
      </c>
      <c r="I271" s="6">
        <v>21216</v>
      </c>
      <c r="J271" t="s">
        <v>42</v>
      </c>
      <c r="K271" t="s">
        <v>18</v>
      </c>
      <c r="L271" t="s">
        <v>19</v>
      </c>
      <c r="M271" t="s">
        <v>35</v>
      </c>
    </row>
    <row r="272" spans="1:13" x14ac:dyDescent="0.25">
      <c r="A272" t="s">
        <v>502</v>
      </c>
      <c r="B272" t="str">
        <f>TEXT(PharmacyData[[#This Row],[Date2]],"mmm")</f>
        <v>Feb</v>
      </c>
      <c r="C272" t="s">
        <v>503</v>
      </c>
      <c r="D272" t="s">
        <v>14</v>
      </c>
      <c r="E272" t="s">
        <v>15</v>
      </c>
      <c r="F272" t="s">
        <v>25</v>
      </c>
      <c r="G272">
        <v>2</v>
      </c>
      <c r="H272">
        <v>969</v>
      </c>
      <c r="I272" s="6">
        <v>1938</v>
      </c>
      <c r="J272" t="s">
        <v>26</v>
      </c>
      <c r="K272" t="s">
        <v>18</v>
      </c>
      <c r="L272" t="s">
        <v>19</v>
      </c>
      <c r="M272" t="s">
        <v>35</v>
      </c>
    </row>
    <row r="273" spans="1:13" x14ac:dyDescent="0.25">
      <c r="A273" t="s">
        <v>504</v>
      </c>
      <c r="B273" t="str">
        <f>TEXT(PharmacyData[[#This Row],[Date2]],"mmm")</f>
        <v>Mar</v>
      </c>
      <c r="C273" t="s">
        <v>505</v>
      </c>
      <c r="D273" t="s">
        <v>65</v>
      </c>
      <c r="E273" t="s">
        <v>66</v>
      </c>
      <c r="F273" t="s">
        <v>25</v>
      </c>
      <c r="G273">
        <v>6</v>
      </c>
      <c r="H273">
        <v>1743</v>
      </c>
      <c r="I273" s="6">
        <v>10458</v>
      </c>
      <c r="J273" t="s">
        <v>55</v>
      </c>
      <c r="K273" t="s">
        <v>18</v>
      </c>
      <c r="L273" t="s">
        <v>19</v>
      </c>
      <c r="M273" t="s">
        <v>35</v>
      </c>
    </row>
    <row r="274" spans="1:13" x14ac:dyDescent="0.25">
      <c r="A274" t="s">
        <v>506</v>
      </c>
      <c r="B274" t="str">
        <f>TEXT(PharmacyData[[#This Row],[Date2]],"mmm")</f>
        <v>Aug</v>
      </c>
      <c r="C274" t="s">
        <v>507</v>
      </c>
      <c r="D274" t="s">
        <v>23</v>
      </c>
      <c r="E274" t="s">
        <v>24</v>
      </c>
      <c r="F274" t="s">
        <v>25</v>
      </c>
      <c r="G274">
        <v>1</v>
      </c>
      <c r="H274">
        <v>2930</v>
      </c>
      <c r="I274" s="6">
        <v>2930</v>
      </c>
      <c r="J274" t="s">
        <v>26</v>
      </c>
      <c r="K274" t="s">
        <v>27</v>
      </c>
      <c r="L274" t="s">
        <v>19</v>
      </c>
      <c r="M274" t="s">
        <v>35</v>
      </c>
    </row>
    <row r="275" spans="1:13" x14ac:dyDescent="0.25">
      <c r="A275" t="s">
        <v>508</v>
      </c>
      <c r="B275" t="str">
        <f>TEXT(PharmacyData[[#This Row],[Date2]],"mmm")</f>
        <v>Feb</v>
      </c>
      <c r="C275" t="s">
        <v>509</v>
      </c>
      <c r="D275" t="s">
        <v>46</v>
      </c>
      <c r="E275" t="s">
        <v>47</v>
      </c>
      <c r="F275" t="s">
        <v>58</v>
      </c>
      <c r="G275">
        <v>12</v>
      </c>
      <c r="H275">
        <v>4481</v>
      </c>
      <c r="I275" s="6">
        <v>53772</v>
      </c>
      <c r="J275" t="s">
        <v>42</v>
      </c>
      <c r="K275" t="s">
        <v>27</v>
      </c>
      <c r="L275" t="s">
        <v>28</v>
      </c>
      <c r="M275" t="s">
        <v>35</v>
      </c>
    </row>
    <row r="276" spans="1:13" x14ac:dyDescent="0.25">
      <c r="A276" t="s">
        <v>510</v>
      </c>
      <c r="B276" t="str">
        <f>TEXT(PharmacyData[[#This Row],[Date2]],"mmm")</f>
        <v>Feb</v>
      </c>
      <c r="C276" t="s">
        <v>177</v>
      </c>
      <c r="D276" t="s">
        <v>23</v>
      </c>
      <c r="E276" t="s">
        <v>24</v>
      </c>
      <c r="F276" t="s">
        <v>16</v>
      </c>
      <c r="G276">
        <v>15</v>
      </c>
      <c r="H276">
        <v>3564</v>
      </c>
      <c r="I276" s="6">
        <v>53460</v>
      </c>
      <c r="J276" t="s">
        <v>26</v>
      </c>
      <c r="K276" t="s">
        <v>52</v>
      </c>
      <c r="L276" t="s">
        <v>19</v>
      </c>
      <c r="M276" t="s">
        <v>35</v>
      </c>
    </row>
    <row r="277" spans="1:13" x14ac:dyDescent="0.25">
      <c r="A277" t="s">
        <v>511</v>
      </c>
      <c r="B277" t="str">
        <f>TEXT(PharmacyData[[#This Row],[Date2]],"mmm")</f>
        <v>Jul</v>
      </c>
      <c r="C277" t="s">
        <v>274</v>
      </c>
      <c r="D277" t="s">
        <v>71</v>
      </c>
      <c r="E277" t="s">
        <v>32</v>
      </c>
      <c r="F277" t="s">
        <v>16</v>
      </c>
      <c r="G277">
        <v>13</v>
      </c>
      <c r="H277">
        <v>1845</v>
      </c>
      <c r="I277" s="6">
        <v>23985</v>
      </c>
      <c r="J277" t="s">
        <v>55</v>
      </c>
      <c r="K277" t="s">
        <v>27</v>
      </c>
      <c r="L277" t="s">
        <v>28</v>
      </c>
      <c r="M277" t="s">
        <v>35</v>
      </c>
    </row>
    <row r="278" spans="1:13" x14ac:dyDescent="0.25">
      <c r="A278" t="s">
        <v>512</v>
      </c>
      <c r="B278" t="str">
        <f>TEXT(PharmacyData[[#This Row],[Date2]],"mmm")</f>
        <v>Jan</v>
      </c>
      <c r="C278" t="s">
        <v>513</v>
      </c>
      <c r="D278" t="s">
        <v>46</v>
      </c>
      <c r="E278" t="s">
        <v>47</v>
      </c>
      <c r="F278" t="s">
        <v>25</v>
      </c>
      <c r="G278">
        <v>14</v>
      </c>
      <c r="H278">
        <v>3376</v>
      </c>
      <c r="I278" s="6">
        <v>47264</v>
      </c>
      <c r="J278" t="s">
        <v>26</v>
      </c>
      <c r="K278" t="s">
        <v>52</v>
      </c>
      <c r="L278" t="s">
        <v>28</v>
      </c>
      <c r="M278" t="s">
        <v>35</v>
      </c>
    </row>
    <row r="279" spans="1:13" x14ac:dyDescent="0.25">
      <c r="A279" t="s">
        <v>514</v>
      </c>
      <c r="B279" t="str">
        <f>TEXT(PharmacyData[[#This Row],[Date2]],"mmm")</f>
        <v>Jul</v>
      </c>
      <c r="C279" t="s">
        <v>515</v>
      </c>
      <c r="D279" t="s">
        <v>105</v>
      </c>
      <c r="E279" t="s">
        <v>106</v>
      </c>
      <c r="F279" t="s">
        <v>58</v>
      </c>
      <c r="G279">
        <v>14</v>
      </c>
      <c r="H279">
        <v>699</v>
      </c>
      <c r="I279" s="6">
        <v>9786</v>
      </c>
      <c r="J279" t="s">
        <v>55</v>
      </c>
      <c r="K279" t="s">
        <v>52</v>
      </c>
      <c r="L279" t="s">
        <v>19</v>
      </c>
      <c r="M279" t="s">
        <v>35</v>
      </c>
    </row>
    <row r="280" spans="1:13" x14ac:dyDescent="0.25">
      <c r="A280" t="s">
        <v>516</v>
      </c>
      <c r="B280" t="str">
        <f>TEXT(PharmacyData[[#This Row],[Date2]],"mmm")</f>
        <v>May</v>
      </c>
      <c r="C280" t="s">
        <v>401</v>
      </c>
      <c r="D280" t="s">
        <v>23</v>
      </c>
      <c r="E280" t="s">
        <v>24</v>
      </c>
      <c r="F280" t="s">
        <v>33</v>
      </c>
      <c r="G280">
        <v>10</v>
      </c>
      <c r="H280">
        <v>4626</v>
      </c>
      <c r="I280" s="6">
        <v>46260</v>
      </c>
      <c r="J280" t="s">
        <v>34</v>
      </c>
      <c r="K280" t="s">
        <v>52</v>
      </c>
      <c r="L280" t="s">
        <v>19</v>
      </c>
      <c r="M280" t="s">
        <v>20</v>
      </c>
    </row>
    <row r="281" spans="1:13" x14ac:dyDescent="0.25">
      <c r="A281" t="s">
        <v>517</v>
      </c>
      <c r="B281" t="str">
        <f>TEXT(PharmacyData[[#This Row],[Date2]],"mmm")</f>
        <v>Jun</v>
      </c>
      <c r="C281" t="s">
        <v>332</v>
      </c>
      <c r="D281" t="s">
        <v>40</v>
      </c>
      <c r="E281" t="s">
        <v>41</v>
      </c>
      <c r="F281" t="s">
        <v>16</v>
      </c>
      <c r="G281">
        <v>5</v>
      </c>
      <c r="H281">
        <v>1482</v>
      </c>
      <c r="I281" s="6">
        <v>7410</v>
      </c>
      <c r="J281" t="s">
        <v>55</v>
      </c>
      <c r="K281" t="s">
        <v>18</v>
      </c>
      <c r="L281" t="s">
        <v>28</v>
      </c>
      <c r="M281" t="s">
        <v>20</v>
      </c>
    </row>
    <row r="282" spans="1:13" x14ac:dyDescent="0.25">
      <c r="A282" t="s">
        <v>518</v>
      </c>
      <c r="B282" t="str">
        <f>TEXT(PharmacyData[[#This Row],[Date2]],"mmm")</f>
        <v>Jan</v>
      </c>
      <c r="C282" t="s">
        <v>246</v>
      </c>
      <c r="D282" t="s">
        <v>65</v>
      </c>
      <c r="E282" t="s">
        <v>66</v>
      </c>
      <c r="F282" t="s">
        <v>33</v>
      </c>
      <c r="G282">
        <v>8</v>
      </c>
      <c r="H282">
        <v>2224</v>
      </c>
      <c r="I282" s="6">
        <v>17792</v>
      </c>
      <c r="J282" t="s">
        <v>55</v>
      </c>
      <c r="K282" t="s">
        <v>27</v>
      </c>
      <c r="L282" t="s">
        <v>19</v>
      </c>
      <c r="M282" t="s">
        <v>35</v>
      </c>
    </row>
    <row r="283" spans="1:13" x14ac:dyDescent="0.25">
      <c r="A283" t="s">
        <v>519</v>
      </c>
      <c r="B283" t="str">
        <f>TEXT(PharmacyData[[#This Row],[Date2]],"mmm")</f>
        <v>Jan</v>
      </c>
      <c r="C283" t="s">
        <v>467</v>
      </c>
      <c r="D283" t="s">
        <v>23</v>
      </c>
      <c r="E283" t="s">
        <v>24</v>
      </c>
      <c r="F283" t="s">
        <v>25</v>
      </c>
      <c r="G283">
        <v>2</v>
      </c>
      <c r="H283">
        <v>2372</v>
      </c>
      <c r="I283" s="6">
        <v>4744</v>
      </c>
      <c r="J283" t="s">
        <v>55</v>
      </c>
      <c r="K283" t="s">
        <v>27</v>
      </c>
      <c r="L283" t="s">
        <v>28</v>
      </c>
      <c r="M283" t="s">
        <v>20</v>
      </c>
    </row>
    <row r="284" spans="1:13" x14ac:dyDescent="0.25">
      <c r="A284" t="s">
        <v>520</v>
      </c>
      <c r="B284" t="str">
        <f>TEXT(PharmacyData[[#This Row],[Date2]],"mmm")</f>
        <v>Dec</v>
      </c>
      <c r="C284" t="s">
        <v>521</v>
      </c>
      <c r="D284" t="s">
        <v>31</v>
      </c>
      <c r="E284" t="s">
        <v>32</v>
      </c>
      <c r="F284" t="s">
        <v>58</v>
      </c>
      <c r="G284">
        <v>8</v>
      </c>
      <c r="H284">
        <v>1954</v>
      </c>
      <c r="I284" s="6">
        <v>15632</v>
      </c>
      <c r="J284" t="s">
        <v>55</v>
      </c>
      <c r="K284" t="s">
        <v>27</v>
      </c>
      <c r="L284" t="s">
        <v>19</v>
      </c>
      <c r="M284" t="s">
        <v>43</v>
      </c>
    </row>
    <row r="285" spans="1:13" x14ac:dyDescent="0.25">
      <c r="A285" t="s">
        <v>522</v>
      </c>
      <c r="B285" t="str">
        <f>TEXT(PharmacyData[[#This Row],[Date2]],"mmm")</f>
        <v>Aug</v>
      </c>
      <c r="C285" t="s">
        <v>314</v>
      </c>
      <c r="D285" t="s">
        <v>105</v>
      </c>
      <c r="E285" t="s">
        <v>106</v>
      </c>
      <c r="F285" t="s">
        <v>33</v>
      </c>
      <c r="G285">
        <v>2</v>
      </c>
      <c r="H285">
        <v>704</v>
      </c>
      <c r="I285" s="6">
        <v>1408</v>
      </c>
      <c r="J285" t="s">
        <v>34</v>
      </c>
      <c r="K285" t="s">
        <v>18</v>
      </c>
      <c r="L285" t="s">
        <v>28</v>
      </c>
      <c r="M285" t="s">
        <v>43</v>
      </c>
    </row>
    <row r="286" spans="1:13" x14ac:dyDescent="0.25">
      <c r="A286" t="s">
        <v>523</v>
      </c>
      <c r="B286" t="str">
        <f>TEXT(PharmacyData[[#This Row],[Date2]],"mmm")</f>
        <v>Aug</v>
      </c>
      <c r="C286" t="s">
        <v>131</v>
      </c>
      <c r="D286" t="s">
        <v>65</v>
      </c>
      <c r="E286" t="s">
        <v>66</v>
      </c>
      <c r="F286" t="s">
        <v>16</v>
      </c>
      <c r="G286">
        <v>5</v>
      </c>
      <c r="H286">
        <v>4104</v>
      </c>
      <c r="I286" s="6">
        <v>20520</v>
      </c>
      <c r="J286" t="s">
        <v>17</v>
      </c>
      <c r="K286" t="s">
        <v>27</v>
      </c>
      <c r="L286" t="s">
        <v>28</v>
      </c>
      <c r="M286" t="s">
        <v>43</v>
      </c>
    </row>
    <row r="287" spans="1:13" x14ac:dyDescent="0.25">
      <c r="A287" t="s">
        <v>524</v>
      </c>
      <c r="B287" t="str">
        <f>TEXT(PharmacyData[[#This Row],[Date2]],"mmm")</f>
        <v>Oct</v>
      </c>
      <c r="C287" t="s">
        <v>525</v>
      </c>
      <c r="D287" t="s">
        <v>82</v>
      </c>
      <c r="E287" t="s">
        <v>15</v>
      </c>
      <c r="F287" t="s">
        <v>16</v>
      </c>
      <c r="G287">
        <v>12</v>
      </c>
      <c r="H287">
        <v>4866</v>
      </c>
      <c r="I287" s="6">
        <v>58392</v>
      </c>
      <c r="J287" t="s">
        <v>26</v>
      </c>
      <c r="K287" t="s">
        <v>52</v>
      </c>
      <c r="L287" t="s">
        <v>28</v>
      </c>
      <c r="M287" t="s">
        <v>43</v>
      </c>
    </row>
    <row r="288" spans="1:13" x14ac:dyDescent="0.25">
      <c r="A288" t="s">
        <v>526</v>
      </c>
      <c r="B288" t="str">
        <f>TEXT(PharmacyData[[#This Row],[Date2]],"mmm")</f>
        <v>Mar</v>
      </c>
      <c r="C288" t="s">
        <v>527</v>
      </c>
      <c r="D288" t="s">
        <v>82</v>
      </c>
      <c r="E288" t="s">
        <v>15</v>
      </c>
      <c r="F288" t="s">
        <v>58</v>
      </c>
      <c r="G288">
        <v>10</v>
      </c>
      <c r="H288">
        <v>3814</v>
      </c>
      <c r="I288" s="6">
        <v>38140</v>
      </c>
      <c r="J288" t="s">
        <v>42</v>
      </c>
      <c r="K288" t="s">
        <v>18</v>
      </c>
      <c r="L288" t="s">
        <v>28</v>
      </c>
      <c r="M288" t="s">
        <v>35</v>
      </c>
    </row>
    <row r="289" spans="1:13" x14ac:dyDescent="0.25">
      <c r="A289" t="s">
        <v>528</v>
      </c>
      <c r="B289" t="str">
        <f>TEXT(PharmacyData[[#This Row],[Date2]],"mmm")</f>
        <v>Feb</v>
      </c>
      <c r="C289" t="s">
        <v>350</v>
      </c>
      <c r="D289" t="s">
        <v>40</v>
      </c>
      <c r="E289" t="s">
        <v>41</v>
      </c>
      <c r="F289" t="s">
        <v>25</v>
      </c>
      <c r="G289">
        <v>15</v>
      </c>
      <c r="H289">
        <v>3277</v>
      </c>
      <c r="I289" s="6">
        <v>49155</v>
      </c>
      <c r="J289" t="s">
        <v>34</v>
      </c>
      <c r="K289" t="s">
        <v>27</v>
      </c>
      <c r="L289" t="s">
        <v>28</v>
      </c>
      <c r="M289" t="s">
        <v>35</v>
      </c>
    </row>
    <row r="290" spans="1:13" x14ac:dyDescent="0.25">
      <c r="A290" t="s">
        <v>529</v>
      </c>
      <c r="B290" t="str">
        <f>TEXT(PharmacyData[[#This Row],[Date2]],"mmm")</f>
        <v>Mar</v>
      </c>
      <c r="C290" t="s">
        <v>376</v>
      </c>
      <c r="D290" t="s">
        <v>46</v>
      </c>
      <c r="E290" t="s">
        <v>47</v>
      </c>
      <c r="F290" t="s">
        <v>16</v>
      </c>
      <c r="G290">
        <v>2</v>
      </c>
      <c r="H290">
        <v>3778</v>
      </c>
      <c r="I290" s="6">
        <v>7556</v>
      </c>
      <c r="J290" t="s">
        <v>55</v>
      </c>
      <c r="K290" t="s">
        <v>27</v>
      </c>
      <c r="L290" t="s">
        <v>19</v>
      </c>
      <c r="M290" t="s">
        <v>35</v>
      </c>
    </row>
    <row r="291" spans="1:13" x14ac:dyDescent="0.25">
      <c r="A291" t="s">
        <v>530</v>
      </c>
      <c r="B291" t="str">
        <f>TEXT(PharmacyData[[#This Row],[Date2]],"mmm")</f>
        <v>Feb</v>
      </c>
      <c r="C291" t="s">
        <v>531</v>
      </c>
      <c r="D291" t="s">
        <v>31</v>
      </c>
      <c r="E291" t="s">
        <v>32</v>
      </c>
      <c r="F291" t="s">
        <v>58</v>
      </c>
      <c r="G291">
        <v>4</v>
      </c>
      <c r="H291">
        <v>3882</v>
      </c>
      <c r="I291" s="6">
        <v>15528</v>
      </c>
      <c r="J291" t="s">
        <v>26</v>
      </c>
      <c r="K291" t="s">
        <v>27</v>
      </c>
      <c r="L291" t="s">
        <v>19</v>
      </c>
      <c r="M291" t="s">
        <v>20</v>
      </c>
    </row>
    <row r="292" spans="1:13" x14ac:dyDescent="0.25">
      <c r="A292" t="s">
        <v>532</v>
      </c>
      <c r="B292" t="str">
        <f>TEXT(PharmacyData[[#This Row],[Date2]],"mmm")</f>
        <v>May</v>
      </c>
      <c r="C292" t="s">
        <v>533</v>
      </c>
      <c r="D292" t="s">
        <v>31</v>
      </c>
      <c r="E292" t="s">
        <v>32</v>
      </c>
      <c r="F292" t="s">
        <v>25</v>
      </c>
      <c r="G292">
        <v>1</v>
      </c>
      <c r="H292">
        <v>3508</v>
      </c>
      <c r="I292" s="6">
        <v>3508</v>
      </c>
      <c r="J292" t="s">
        <v>55</v>
      </c>
      <c r="K292" t="s">
        <v>18</v>
      </c>
      <c r="L292" t="s">
        <v>28</v>
      </c>
      <c r="M292" t="s">
        <v>35</v>
      </c>
    </row>
    <row r="293" spans="1:13" x14ac:dyDescent="0.25">
      <c r="A293" t="s">
        <v>534</v>
      </c>
      <c r="B293" t="str">
        <f>TEXT(PharmacyData[[#This Row],[Date2]],"mmm")</f>
        <v>Dec</v>
      </c>
      <c r="C293" t="s">
        <v>142</v>
      </c>
      <c r="D293" t="s">
        <v>31</v>
      </c>
      <c r="E293" t="s">
        <v>32</v>
      </c>
      <c r="F293" t="s">
        <v>25</v>
      </c>
      <c r="G293">
        <v>2</v>
      </c>
      <c r="H293">
        <v>2103</v>
      </c>
      <c r="I293" s="6">
        <v>4206</v>
      </c>
      <c r="J293" t="s">
        <v>26</v>
      </c>
      <c r="K293" t="s">
        <v>52</v>
      </c>
      <c r="L293" t="s">
        <v>28</v>
      </c>
      <c r="M293" t="s">
        <v>20</v>
      </c>
    </row>
    <row r="294" spans="1:13" x14ac:dyDescent="0.25">
      <c r="A294" t="s">
        <v>535</v>
      </c>
      <c r="B294" t="str">
        <f>TEXT(PharmacyData[[#This Row],[Date2]],"mmm")</f>
        <v>Jan</v>
      </c>
      <c r="C294" t="s">
        <v>513</v>
      </c>
      <c r="D294" t="s">
        <v>31</v>
      </c>
      <c r="E294" t="s">
        <v>32</v>
      </c>
      <c r="F294" t="s">
        <v>25</v>
      </c>
      <c r="G294">
        <v>15</v>
      </c>
      <c r="H294">
        <v>3280</v>
      </c>
      <c r="I294" s="6">
        <v>49200</v>
      </c>
      <c r="J294" t="s">
        <v>17</v>
      </c>
      <c r="K294" t="s">
        <v>18</v>
      </c>
      <c r="L294" t="s">
        <v>19</v>
      </c>
      <c r="M294" t="s">
        <v>35</v>
      </c>
    </row>
    <row r="295" spans="1:13" x14ac:dyDescent="0.25">
      <c r="A295" t="s">
        <v>536</v>
      </c>
      <c r="B295" t="str">
        <f>TEXT(PharmacyData[[#This Row],[Date2]],"mmm")</f>
        <v>Feb</v>
      </c>
      <c r="C295" t="s">
        <v>477</v>
      </c>
      <c r="D295" t="s">
        <v>105</v>
      </c>
      <c r="E295" t="s">
        <v>106</v>
      </c>
      <c r="F295" t="s">
        <v>25</v>
      </c>
      <c r="G295">
        <v>3</v>
      </c>
      <c r="H295">
        <v>4170</v>
      </c>
      <c r="I295" s="6">
        <v>12510</v>
      </c>
      <c r="J295" t="s">
        <v>26</v>
      </c>
      <c r="K295" t="s">
        <v>18</v>
      </c>
      <c r="L295" t="s">
        <v>19</v>
      </c>
      <c r="M295" t="s">
        <v>35</v>
      </c>
    </row>
    <row r="296" spans="1:13" x14ac:dyDescent="0.25">
      <c r="A296" t="s">
        <v>537</v>
      </c>
      <c r="B296" t="str">
        <f>TEXT(PharmacyData[[#This Row],[Date2]],"mmm")</f>
        <v>Nov</v>
      </c>
      <c r="C296" t="s">
        <v>538</v>
      </c>
      <c r="D296" t="s">
        <v>65</v>
      </c>
      <c r="E296" t="s">
        <v>66</v>
      </c>
      <c r="F296" t="s">
        <v>33</v>
      </c>
      <c r="G296">
        <v>11</v>
      </c>
      <c r="H296">
        <v>2823</v>
      </c>
      <c r="I296" s="6">
        <v>31053</v>
      </c>
      <c r="J296" t="s">
        <v>42</v>
      </c>
      <c r="K296" t="s">
        <v>18</v>
      </c>
      <c r="L296" t="s">
        <v>28</v>
      </c>
      <c r="M296" t="s">
        <v>20</v>
      </c>
    </row>
    <row r="297" spans="1:13" x14ac:dyDescent="0.25">
      <c r="A297" t="s">
        <v>539</v>
      </c>
      <c r="B297" t="str">
        <f>TEXT(PharmacyData[[#This Row],[Date2]],"mmm")</f>
        <v>Aug</v>
      </c>
      <c r="C297" t="s">
        <v>223</v>
      </c>
      <c r="D297" t="s">
        <v>23</v>
      </c>
      <c r="E297" t="s">
        <v>24</v>
      </c>
      <c r="F297" t="s">
        <v>58</v>
      </c>
      <c r="G297">
        <v>8</v>
      </c>
      <c r="H297">
        <v>424</v>
      </c>
      <c r="I297" s="6">
        <v>3392</v>
      </c>
      <c r="J297" t="s">
        <v>55</v>
      </c>
      <c r="K297" t="s">
        <v>18</v>
      </c>
      <c r="L297" t="s">
        <v>19</v>
      </c>
      <c r="M297" t="s">
        <v>20</v>
      </c>
    </row>
    <row r="298" spans="1:13" x14ac:dyDescent="0.25">
      <c r="A298" t="s">
        <v>540</v>
      </c>
      <c r="B298" t="str">
        <f>TEXT(PharmacyData[[#This Row],[Date2]],"mmm")</f>
        <v>Oct</v>
      </c>
      <c r="C298" t="s">
        <v>541</v>
      </c>
      <c r="D298" t="s">
        <v>105</v>
      </c>
      <c r="E298" t="s">
        <v>106</v>
      </c>
      <c r="F298" t="s">
        <v>58</v>
      </c>
      <c r="G298">
        <v>7</v>
      </c>
      <c r="H298">
        <v>2936</v>
      </c>
      <c r="I298" s="6">
        <v>20552</v>
      </c>
      <c r="J298" t="s">
        <v>34</v>
      </c>
      <c r="K298" t="s">
        <v>27</v>
      </c>
      <c r="L298" t="s">
        <v>19</v>
      </c>
      <c r="M298" t="s">
        <v>35</v>
      </c>
    </row>
    <row r="299" spans="1:13" x14ac:dyDescent="0.25">
      <c r="A299" t="s">
        <v>542</v>
      </c>
      <c r="B299" t="str">
        <f>TEXT(PharmacyData[[#This Row],[Date2]],"mmm")</f>
        <v>Feb</v>
      </c>
      <c r="C299" t="s">
        <v>422</v>
      </c>
      <c r="D299" t="s">
        <v>105</v>
      </c>
      <c r="E299" t="s">
        <v>106</v>
      </c>
      <c r="F299" t="s">
        <v>25</v>
      </c>
      <c r="G299">
        <v>7</v>
      </c>
      <c r="H299">
        <v>2065</v>
      </c>
      <c r="I299" s="6">
        <v>14455</v>
      </c>
      <c r="J299" t="s">
        <v>55</v>
      </c>
      <c r="K299" t="s">
        <v>18</v>
      </c>
      <c r="L299" t="s">
        <v>19</v>
      </c>
      <c r="M299" t="s">
        <v>20</v>
      </c>
    </row>
    <row r="300" spans="1:13" x14ac:dyDescent="0.25">
      <c r="A300" t="s">
        <v>543</v>
      </c>
      <c r="B300" t="str">
        <f>TEXT(PharmacyData[[#This Row],[Date2]],"mmm")</f>
        <v>May</v>
      </c>
      <c r="C300" t="s">
        <v>544</v>
      </c>
      <c r="D300" t="s">
        <v>14</v>
      </c>
      <c r="E300" t="s">
        <v>15</v>
      </c>
      <c r="F300" t="s">
        <v>25</v>
      </c>
      <c r="G300">
        <v>5</v>
      </c>
      <c r="H300">
        <v>3331</v>
      </c>
      <c r="I300" s="6">
        <v>16655</v>
      </c>
      <c r="J300" t="s">
        <v>55</v>
      </c>
      <c r="K300" t="s">
        <v>27</v>
      </c>
      <c r="L300" t="s">
        <v>19</v>
      </c>
      <c r="M300" t="s">
        <v>35</v>
      </c>
    </row>
    <row r="301" spans="1:13" x14ac:dyDescent="0.25">
      <c r="A301" t="s">
        <v>545</v>
      </c>
      <c r="B301" t="str">
        <f>TEXT(PharmacyData[[#This Row],[Date2]],"mmm")</f>
        <v>Mar</v>
      </c>
      <c r="C301" t="s">
        <v>546</v>
      </c>
      <c r="D301" t="s">
        <v>31</v>
      </c>
      <c r="E301" t="s">
        <v>32</v>
      </c>
      <c r="F301" t="s">
        <v>25</v>
      </c>
      <c r="G301">
        <v>6</v>
      </c>
      <c r="H301">
        <v>3396</v>
      </c>
      <c r="I301" s="6">
        <v>20376</v>
      </c>
      <c r="J301" t="s">
        <v>26</v>
      </c>
      <c r="K301" t="s">
        <v>52</v>
      </c>
      <c r="L301" t="s">
        <v>28</v>
      </c>
      <c r="M301" t="s">
        <v>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E59B8-8C08-4B62-951B-9E8D8E8DAEAF}">
  <dimension ref="A2:J19"/>
  <sheetViews>
    <sheetView workbookViewId="0">
      <selection activeCell="E4" sqref="E4"/>
    </sheetView>
  </sheetViews>
  <sheetFormatPr defaultRowHeight="15" x14ac:dyDescent="0.25"/>
  <cols>
    <col min="1" max="1" width="18.140625" bestFit="1" customWidth="1"/>
    <col min="2" max="2" width="23" bestFit="1" customWidth="1"/>
    <col min="3" max="3" width="22.42578125" bestFit="1" customWidth="1"/>
    <col min="4" max="4" width="20.5703125" bestFit="1" customWidth="1"/>
  </cols>
  <sheetData>
    <row r="2" spans="1:10" x14ac:dyDescent="0.25">
      <c r="A2" t="s">
        <v>553</v>
      </c>
      <c r="B2" t="s">
        <v>554</v>
      </c>
      <c r="C2" t="s">
        <v>556</v>
      </c>
      <c r="D2" t="s">
        <v>555</v>
      </c>
      <c r="G2" t="s">
        <v>575</v>
      </c>
      <c r="J2" t="s">
        <v>574</v>
      </c>
    </row>
    <row r="3" spans="1:10" x14ac:dyDescent="0.25">
      <c r="A3" t="s">
        <v>547</v>
      </c>
      <c r="B3" t="s">
        <v>548</v>
      </c>
      <c r="C3" t="s">
        <v>549</v>
      </c>
      <c r="D3" t="s">
        <v>550</v>
      </c>
    </row>
    <row r="4" spans="1:10" x14ac:dyDescent="0.25">
      <c r="A4" s="4">
        <v>6073104</v>
      </c>
      <c r="B4" s="4">
        <v>300</v>
      </c>
      <c r="C4" s="3">
        <v>20243.68</v>
      </c>
      <c r="D4" s="4">
        <v>2423</v>
      </c>
      <c r="G4" s="3">
        <f>SUM(PharmacyData[Total_Sales]) / SUM(PharmacyData[Quantity_Sold])</f>
        <v>2506.4399504746184</v>
      </c>
      <c r="H4" s="3"/>
      <c r="J4" s="3">
        <f>AVERAGE(PharmacyData[Unit_Price])</f>
        <v>2525.4766666666665</v>
      </c>
    </row>
    <row r="7" spans="1:10" ht="15.75" x14ac:dyDescent="0.25">
      <c r="D7" s="5"/>
      <c r="E7" s="5"/>
      <c r="G7" s="3"/>
    </row>
    <row r="8" spans="1:10" ht="15.75" x14ac:dyDescent="0.25">
      <c r="D8" s="5"/>
      <c r="E8" s="5"/>
    </row>
    <row r="9" spans="1:10" ht="15.75" x14ac:dyDescent="0.25">
      <c r="D9" s="5"/>
      <c r="E9" s="5"/>
    </row>
    <row r="10" spans="1:10" ht="15.75" x14ac:dyDescent="0.25">
      <c r="D10" s="5"/>
      <c r="E10" s="5"/>
    </row>
    <row r="16" spans="1:10" ht="15.75" x14ac:dyDescent="0.25">
      <c r="D16" s="5"/>
      <c r="E16" s="5"/>
    </row>
    <row r="17" spans="4:5" ht="15.75" x14ac:dyDescent="0.25">
      <c r="D17" s="5"/>
      <c r="E17" s="5"/>
    </row>
    <row r="18" spans="4:5" ht="15.75" x14ac:dyDescent="0.25">
      <c r="D18" s="5"/>
      <c r="E18" s="5"/>
    </row>
    <row r="19" spans="4:5" ht="15.75" x14ac:dyDescent="0.25">
      <c r="D19" s="5"/>
      <c r="E19"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FF9CF-D755-4C18-AE11-ABBBB3F5BFAF}">
  <dimension ref="A2:B60"/>
  <sheetViews>
    <sheetView workbookViewId="0">
      <selection activeCell="A31" sqref="A31"/>
    </sheetView>
  </sheetViews>
  <sheetFormatPr defaultRowHeight="15" x14ac:dyDescent="0.25"/>
  <cols>
    <col min="1" max="1" width="13.42578125" bestFit="1" customWidth="1"/>
    <col min="2" max="2" width="18.140625" bestFit="1" customWidth="1"/>
    <col min="3" max="3" width="20.5703125" bestFit="1" customWidth="1"/>
  </cols>
  <sheetData>
    <row r="2" spans="1:2" x14ac:dyDescent="0.25">
      <c r="A2" t="s">
        <v>557</v>
      </c>
    </row>
    <row r="3" spans="1:2" x14ac:dyDescent="0.25">
      <c r="A3" s="1" t="s">
        <v>551</v>
      </c>
      <c r="B3" t="s">
        <v>547</v>
      </c>
    </row>
    <row r="4" spans="1:2" x14ac:dyDescent="0.25">
      <c r="A4" s="2" t="s">
        <v>41</v>
      </c>
      <c r="B4" s="7">
        <v>685570</v>
      </c>
    </row>
    <row r="5" spans="1:2" x14ac:dyDescent="0.25">
      <c r="A5" s="2" t="s">
        <v>32</v>
      </c>
      <c r="B5" s="7">
        <v>1406653</v>
      </c>
    </row>
    <row r="6" spans="1:2" x14ac:dyDescent="0.25">
      <c r="A6" s="2" t="s">
        <v>15</v>
      </c>
      <c r="B6" s="7">
        <v>1154463</v>
      </c>
    </row>
    <row r="7" spans="1:2" x14ac:dyDescent="0.25">
      <c r="A7" s="2" t="s">
        <v>106</v>
      </c>
      <c r="B7" s="7">
        <v>682076</v>
      </c>
    </row>
    <row r="8" spans="1:2" x14ac:dyDescent="0.25">
      <c r="A8" s="2" t="s">
        <v>47</v>
      </c>
      <c r="B8" s="7">
        <v>608335</v>
      </c>
    </row>
    <row r="9" spans="1:2" x14ac:dyDescent="0.25">
      <c r="A9" s="2" t="s">
        <v>66</v>
      </c>
      <c r="B9" s="7">
        <v>586558</v>
      </c>
    </row>
    <row r="10" spans="1:2" x14ac:dyDescent="0.25">
      <c r="A10" s="2" t="s">
        <v>24</v>
      </c>
      <c r="B10" s="7">
        <v>949449</v>
      </c>
    </row>
    <row r="11" spans="1:2" x14ac:dyDescent="0.25">
      <c r="A11" s="2" t="s">
        <v>552</v>
      </c>
      <c r="B11" s="4">
        <v>6073104</v>
      </c>
    </row>
    <row r="14" spans="1:2" x14ac:dyDescent="0.25">
      <c r="A14" t="s">
        <v>558</v>
      </c>
    </row>
    <row r="15" spans="1:2" x14ac:dyDescent="0.25">
      <c r="A15" s="1" t="s">
        <v>551</v>
      </c>
      <c r="B15" t="s">
        <v>547</v>
      </c>
    </row>
    <row r="16" spans="1:2" x14ac:dyDescent="0.25">
      <c r="A16" s="2" t="s">
        <v>560</v>
      </c>
      <c r="B16" s="6">
        <v>798091</v>
      </c>
    </row>
    <row r="17" spans="1:2" x14ac:dyDescent="0.25">
      <c r="A17" s="2" t="s">
        <v>561</v>
      </c>
      <c r="B17" s="6">
        <v>660546</v>
      </c>
    </row>
    <row r="18" spans="1:2" x14ac:dyDescent="0.25">
      <c r="A18" s="2" t="s">
        <v>562</v>
      </c>
      <c r="B18" s="6">
        <v>534289</v>
      </c>
    </row>
    <row r="19" spans="1:2" x14ac:dyDescent="0.25">
      <c r="A19" s="2" t="s">
        <v>563</v>
      </c>
      <c r="B19" s="6">
        <v>523174</v>
      </c>
    </row>
    <row r="20" spans="1:2" x14ac:dyDescent="0.25">
      <c r="A20" s="2" t="s">
        <v>564</v>
      </c>
      <c r="B20" s="6">
        <v>310077</v>
      </c>
    </row>
    <row r="21" spans="1:2" x14ac:dyDescent="0.25">
      <c r="A21" s="2" t="s">
        <v>565</v>
      </c>
      <c r="B21" s="6">
        <v>350948</v>
      </c>
    </row>
    <row r="22" spans="1:2" x14ac:dyDescent="0.25">
      <c r="A22" s="2" t="s">
        <v>566</v>
      </c>
      <c r="B22" s="6">
        <v>322895</v>
      </c>
    </row>
    <row r="23" spans="1:2" x14ac:dyDescent="0.25">
      <c r="A23" s="2" t="s">
        <v>567</v>
      </c>
      <c r="B23" s="6">
        <v>511632</v>
      </c>
    </row>
    <row r="24" spans="1:2" x14ac:dyDescent="0.25">
      <c r="A24" s="2" t="s">
        <v>568</v>
      </c>
      <c r="B24" s="6">
        <v>463573</v>
      </c>
    </row>
    <row r="25" spans="1:2" x14ac:dyDescent="0.25">
      <c r="A25" s="2" t="s">
        <v>569</v>
      </c>
      <c r="B25" s="6">
        <v>488895</v>
      </c>
    </row>
    <row r="26" spans="1:2" x14ac:dyDescent="0.25">
      <c r="A26" s="2" t="s">
        <v>570</v>
      </c>
      <c r="B26" s="6">
        <v>656712</v>
      </c>
    </row>
    <row r="27" spans="1:2" x14ac:dyDescent="0.25">
      <c r="A27" s="2" t="s">
        <v>571</v>
      </c>
      <c r="B27" s="6">
        <v>452272</v>
      </c>
    </row>
    <row r="28" spans="1:2" x14ac:dyDescent="0.25">
      <c r="A28" s="2" t="s">
        <v>552</v>
      </c>
      <c r="B28" s="4">
        <v>6073104</v>
      </c>
    </row>
    <row r="31" spans="1:2" x14ac:dyDescent="0.25">
      <c r="A31" t="s">
        <v>576</v>
      </c>
    </row>
    <row r="32" spans="1:2" x14ac:dyDescent="0.25">
      <c r="A32" s="1" t="s">
        <v>551</v>
      </c>
      <c r="B32" t="s">
        <v>550</v>
      </c>
    </row>
    <row r="33" spans="1:2" x14ac:dyDescent="0.25">
      <c r="A33" s="2" t="s">
        <v>82</v>
      </c>
      <c r="B33" s="4">
        <v>212</v>
      </c>
    </row>
    <row r="34" spans="1:2" x14ac:dyDescent="0.25">
      <c r="A34" s="2" t="s">
        <v>65</v>
      </c>
      <c r="B34" s="4">
        <v>215</v>
      </c>
    </row>
    <row r="35" spans="1:2" x14ac:dyDescent="0.25">
      <c r="A35" s="2" t="s">
        <v>71</v>
      </c>
      <c r="B35" s="4">
        <v>239</v>
      </c>
    </row>
    <row r="36" spans="1:2" x14ac:dyDescent="0.25">
      <c r="A36" s="2" t="s">
        <v>46</v>
      </c>
      <c r="B36" s="4">
        <v>251</v>
      </c>
    </row>
    <row r="37" spans="1:2" x14ac:dyDescent="0.25">
      <c r="A37" s="2" t="s">
        <v>40</v>
      </c>
      <c r="B37" s="4">
        <v>254</v>
      </c>
    </row>
    <row r="38" spans="1:2" x14ac:dyDescent="0.25">
      <c r="A38" s="2" t="s">
        <v>105</v>
      </c>
      <c r="B38" s="4">
        <v>297</v>
      </c>
    </row>
    <row r="39" spans="1:2" x14ac:dyDescent="0.25">
      <c r="A39" s="2" t="s">
        <v>31</v>
      </c>
      <c r="B39" s="4">
        <v>299</v>
      </c>
    </row>
    <row r="40" spans="1:2" x14ac:dyDescent="0.25">
      <c r="A40" s="2" t="s">
        <v>14</v>
      </c>
      <c r="B40" s="4">
        <v>305</v>
      </c>
    </row>
    <row r="41" spans="1:2" x14ac:dyDescent="0.25">
      <c r="A41" s="2" t="s">
        <v>23</v>
      </c>
      <c r="B41" s="4">
        <v>351</v>
      </c>
    </row>
    <row r="42" spans="1:2" x14ac:dyDescent="0.25">
      <c r="A42" s="2" t="s">
        <v>552</v>
      </c>
      <c r="B42" s="4">
        <v>2423</v>
      </c>
    </row>
    <row r="45" spans="1:2" x14ac:dyDescent="0.25">
      <c r="A45" t="s">
        <v>573</v>
      </c>
    </row>
    <row r="46" spans="1:2" x14ac:dyDescent="0.25">
      <c r="A46" s="1" t="s">
        <v>551</v>
      </c>
      <c r="B46" t="s">
        <v>550</v>
      </c>
    </row>
    <row r="47" spans="1:2" x14ac:dyDescent="0.25">
      <c r="A47" s="2" t="s">
        <v>55</v>
      </c>
      <c r="B47" s="4">
        <v>463</v>
      </c>
    </row>
    <row r="48" spans="1:2" x14ac:dyDescent="0.25">
      <c r="A48" s="2" t="s">
        <v>26</v>
      </c>
      <c r="B48" s="4">
        <v>574</v>
      </c>
    </row>
    <row r="49" spans="1:2" x14ac:dyDescent="0.25">
      <c r="A49" s="2" t="s">
        <v>42</v>
      </c>
      <c r="B49" s="4">
        <v>487</v>
      </c>
    </row>
    <row r="50" spans="1:2" x14ac:dyDescent="0.25">
      <c r="A50" s="2" t="s">
        <v>34</v>
      </c>
      <c r="B50" s="4">
        <v>400</v>
      </c>
    </row>
    <row r="51" spans="1:2" x14ac:dyDescent="0.25">
      <c r="A51" s="2" t="s">
        <v>17</v>
      </c>
      <c r="B51" s="4">
        <v>499</v>
      </c>
    </row>
    <row r="52" spans="1:2" x14ac:dyDescent="0.25">
      <c r="A52" s="2" t="s">
        <v>552</v>
      </c>
      <c r="B52" s="4">
        <v>2423</v>
      </c>
    </row>
    <row r="55" spans="1:2" x14ac:dyDescent="0.25">
      <c r="A55" t="s">
        <v>572</v>
      </c>
    </row>
    <row r="56" spans="1:2" x14ac:dyDescent="0.25">
      <c r="A56" s="1" t="s">
        <v>551</v>
      </c>
      <c r="B56" t="s">
        <v>547</v>
      </c>
    </row>
    <row r="57" spans="1:2" x14ac:dyDescent="0.25">
      <c r="A57" s="2" t="s">
        <v>52</v>
      </c>
      <c r="B57" s="6">
        <v>2059864</v>
      </c>
    </row>
    <row r="58" spans="1:2" x14ac:dyDescent="0.25">
      <c r="A58" s="2" t="s">
        <v>18</v>
      </c>
      <c r="B58" s="6">
        <v>2010607</v>
      </c>
    </row>
    <row r="59" spans="1:2" x14ac:dyDescent="0.25">
      <c r="A59" s="2" t="s">
        <v>27</v>
      </c>
      <c r="B59" s="6">
        <v>2002633</v>
      </c>
    </row>
    <row r="60" spans="1:2" x14ac:dyDescent="0.25">
      <c r="A60" s="2" t="s">
        <v>552</v>
      </c>
      <c r="B60" s="4">
        <v>6073104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0907A-1260-432E-8965-2608E5EDB75C}">
  <dimension ref="A1"/>
  <sheetViews>
    <sheetView showGridLines="0" zoomScale="80" zoomScaleNormal="80" workbookViewId="0">
      <selection activeCell="J1" sqref="J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PharmacyData</vt:lpstr>
      <vt:lpstr>KPI</vt:lpstr>
      <vt:lpstr>pvtable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Cynthia Okere</dc:creator>
  <cp:lastModifiedBy>Cynthia Okere</cp:lastModifiedBy>
  <dcterms:created xsi:type="dcterms:W3CDTF">2025-12-21T16:45:40Z</dcterms:created>
  <dcterms:modified xsi:type="dcterms:W3CDTF">2025-12-23T21:04:09Z</dcterms:modified>
</cp:coreProperties>
</file>